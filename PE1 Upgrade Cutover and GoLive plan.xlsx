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covetrus.sharepoint.com/sites/3000Unity-EUTemplate/Shared Documents/3010 S4HANA EU Template/10 S4H Upgrade project/04. PE1 Production Upgrade/"/>
    </mc:Choice>
  </mc:AlternateContent>
  <xr:revisionPtr revIDLastSave="4891" documentId="8_{45649822-22C8-4A15-939A-86ED05C0EC3F}" xr6:coauthVersionLast="47" xr6:coauthVersionMax="47" xr10:uidLastSave="{DF16D8F7-F819-451D-BECB-AB683A588D86}"/>
  <bookViews>
    <workbookView xWindow="-110" yWindow="-110" windowWidth="19420" windowHeight="10300" xr2:uid="{6C42BF21-A3B2-47F0-9217-39D6303F210E}"/>
  </bookViews>
  <sheets>
    <sheet name="CutOver Plan" sheetId="3" r:id="rId1"/>
    <sheet name="GO-Live weekend" sheetId="11" r:id="rId2"/>
    <sheet name="Auth TRs" sheetId="12" r:id="rId3"/>
    <sheet name="CPI intefaces" sheetId="5" r:id="rId4"/>
    <sheet name="Timeline" sheetId="1" r:id="rId5"/>
    <sheet name="Post_Upgrade_TR" sheetId="14" r:id="rId6"/>
    <sheet name="Post Upgrade TRs_Old" sheetId="8" r:id="rId7"/>
  </sheets>
  <definedNames>
    <definedName name="_xlnm._FilterDatabase" localSheetId="3" hidden="1">'CPI intefaces'!$A$1:$N$106</definedName>
    <definedName name="_xlnm._FilterDatabase" localSheetId="0" hidden="1">'CutOver Plan'!$A$1:$I$269</definedName>
    <definedName name="_xlnm._FilterDatabase" localSheetId="6" hidden="1">'Post Upgrade TRs_Old'!$A$3:$H$87</definedName>
    <definedName name="_xlnm._FilterDatabase" localSheetId="5" hidden="1">Post_Upgrade_TR!$A$3:$J$111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6" i="3" l="1"/>
  <c r="A177" i="3"/>
  <c r="A162" i="3"/>
  <c r="A60" i="3"/>
  <c r="A58" i="3" s="1"/>
  <c r="I69" i="3"/>
  <c r="I61" i="3"/>
  <c r="I80" i="3"/>
  <c r="I81" i="3"/>
  <c r="I82" i="3"/>
  <c r="I79" i="3"/>
  <c r="A239" i="3"/>
  <c r="I50" i="3"/>
  <c r="I4" i="3"/>
  <c r="I5" i="3"/>
  <c r="I8" i="3"/>
  <c r="I9" i="3"/>
  <c r="I11" i="3"/>
  <c r="I12" i="3"/>
  <c r="I13" i="3"/>
  <c r="I16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9" i="3"/>
  <c r="I40" i="3"/>
  <c r="I43" i="3"/>
  <c r="I51" i="3"/>
  <c r="I53" i="3"/>
  <c r="I54" i="3"/>
  <c r="I56" i="3"/>
  <c r="I57" i="3"/>
  <c r="I58" i="3"/>
  <c r="I60" i="3"/>
  <c r="I62" i="3"/>
  <c r="I63" i="3"/>
  <c r="I64" i="3"/>
  <c r="I65" i="3"/>
  <c r="I66" i="3"/>
  <c r="I67" i="3"/>
  <c r="I68" i="3"/>
  <c r="I71" i="3"/>
  <c r="I72" i="3"/>
  <c r="I73" i="3"/>
  <c r="I74" i="3"/>
  <c r="I75" i="3"/>
  <c r="I76" i="3"/>
  <c r="I77" i="3"/>
  <c r="I78" i="3"/>
  <c r="I123" i="3"/>
  <c r="I130" i="3"/>
  <c r="I133" i="3"/>
  <c r="I134" i="3"/>
  <c r="I136" i="3"/>
  <c r="I155" i="3"/>
  <c r="I158" i="3"/>
  <c r="I159" i="3"/>
  <c r="I160" i="3"/>
  <c r="I161" i="3"/>
  <c r="I162" i="3"/>
  <c r="I168" i="3"/>
  <c r="I184" i="3"/>
  <c r="I185" i="3"/>
  <c r="I186" i="3"/>
  <c r="I192" i="3"/>
  <c r="I193" i="3"/>
  <c r="I196" i="3"/>
  <c r="I201" i="3"/>
  <c r="I206" i="3"/>
  <c r="I230" i="3"/>
  <c r="I232" i="3"/>
  <c r="I234" i="3"/>
  <c r="I235" i="3"/>
  <c r="I237" i="3"/>
  <c r="I238" i="3"/>
  <c r="I256" i="3"/>
  <c r="I257" i="3"/>
  <c r="I258" i="3"/>
  <c r="I260" i="3"/>
  <c r="I261" i="3"/>
  <c r="I262" i="3"/>
  <c r="I263" i="3"/>
  <c r="I264" i="3"/>
  <c r="I265" i="3"/>
  <c r="I266" i="3"/>
  <c r="I267" i="3"/>
  <c r="I268" i="3"/>
  <c r="I269" i="3"/>
  <c r="A10" i="3"/>
  <c r="A193" i="3"/>
  <c r="A171" i="3"/>
  <c r="A40" i="3"/>
  <c r="A35" i="3" s="1"/>
  <c r="A3" i="3"/>
  <c r="A21" i="3"/>
  <c r="A17" i="3"/>
  <c r="A161" i="3" l="1"/>
  <c r="A15" i="3"/>
  <c r="A234" i="3"/>
  <c r="A192" i="3"/>
  <c r="A133" i="3"/>
  <c r="A53" i="3"/>
  <c r="A7" i="3"/>
  <c r="E13" i="1"/>
  <c r="A191" i="3" l="1"/>
  <c r="A52" i="3"/>
  <c r="A2" i="3"/>
</calcChain>
</file>

<file path=xl/sharedStrings.xml><?xml version="1.0" encoding="utf-8"?>
<sst xmlns="http://schemas.openxmlformats.org/spreadsheetml/2006/main" count="3906" uniqueCount="1430">
  <si>
    <t>% Completed</t>
  </si>
  <si>
    <t>Outline</t>
  </si>
  <si>
    <t>Task</t>
  </si>
  <si>
    <t>Predecessors</t>
  </si>
  <si>
    <t>Responsible</t>
  </si>
  <si>
    <t>Due Date</t>
  </si>
  <si>
    <t>Time start</t>
  </si>
  <si>
    <t>Time end</t>
  </si>
  <si>
    <t>Duration</t>
  </si>
  <si>
    <t>Pre-Preparation</t>
  </si>
  <si>
    <t>Transports &amp; User ID</t>
  </si>
  <si>
    <t>1.1.1</t>
  </si>
  <si>
    <t>Finalise single SPDD TR transport</t>
  </si>
  <si>
    <t>Alex</t>
  </si>
  <si>
    <t>1.1.2</t>
  </si>
  <si>
    <t>Create SPAU TRs &amp; prepare list of other TRs</t>
  </si>
  <si>
    <t>1.1.3</t>
  </si>
  <si>
    <t>Create ECS_UPG1 User ID for SAP Upgrade team in PE1-100</t>
  </si>
  <si>
    <t>Vipin</t>
  </si>
  <si>
    <t>Jobs &amp; interface</t>
  </si>
  <si>
    <t>1.2.1</t>
  </si>
  <si>
    <t>Prepare list of jobs to run before downtime &amp; after upgrade</t>
  </si>
  <si>
    <t>Ashish/Uma</t>
  </si>
  <si>
    <t>1.2.2</t>
  </si>
  <si>
    <t>Identify interfaces to stop / inform in SAP CPI</t>
  </si>
  <si>
    <t>Uma</t>
  </si>
  <si>
    <t>Communications</t>
  </si>
  <si>
    <t>1.3.1</t>
  </si>
  <si>
    <t>Align with 3rd party systems: NetOrder, MSD, Ehealth, ..</t>
  </si>
  <si>
    <t>Various</t>
  </si>
  <si>
    <t>Check with all workstream</t>
  </si>
  <si>
    <t>OTC</t>
  </si>
  <si>
    <t>PTP</t>
  </si>
  <si>
    <t>EWM</t>
  </si>
  <si>
    <t>RTR</t>
  </si>
  <si>
    <t>1.3.2</t>
  </si>
  <si>
    <t>Align with business on communications to customers &amp; 3rd party</t>
  </si>
  <si>
    <t>Lorenzo</t>
  </si>
  <si>
    <t>1.3.3</t>
  </si>
  <si>
    <t>Create IT-CoE mail group</t>
  </si>
  <si>
    <t>Nav</t>
  </si>
  <si>
    <t>S4H_ITCOE@covetrus.com</t>
  </si>
  <si>
    <t>1.3.4</t>
  </si>
  <si>
    <t>Actions on jobs / interfaces - plan is clear?</t>
  </si>
  <si>
    <t>All workstream</t>
  </si>
  <si>
    <t>Preparation</t>
  </si>
  <si>
    <t>Go / No-Go decision</t>
  </si>
  <si>
    <t>PMO</t>
  </si>
  <si>
    <t>2.2.1</t>
  </si>
  <si>
    <t>Inform SAP ECS upgrade team</t>
  </si>
  <si>
    <t>Ashish</t>
  </si>
  <si>
    <t>Kentico</t>
  </si>
  <si>
    <t>Modulix?</t>
  </si>
  <si>
    <t>2.2.2</t>
  </si>
  <si>
    <t>Inform 3rd party resources</t>
  </si>
  <si>
    <t>2.2.3</t>
  </si>
  <si>
    <t>Inform customers on the downtime/order earlier/receive later</t>
  </si>
  <si>
    <t>Technical preparations - before handover to SAP</t>
  </si>
  <si>
    <t>2.3.1</t>
  </si>
  <si>
    <t>Check for Open transports in System</t>
  </si>
  <si>
    <t>2.3.2</t>
  </si>
  <si>
    <t>Import missing SAP Note( SNOTE - 3007754,3010852,3044634)</t>
  </si>
  <si>
    <t>2.3.3</t>
  </si>
  <si>
    <t>Simplification item checklist - run report</t>
  </si>
  <si>
    <t>2.3.4</t>
  </si>
  <si>
    <t>Eliminate duplicate entries from table /IWFND/I_MED_SRH (found from simplification list)</t>
  </si>
  <si>
    <t>2.3.5</t>
  </si>
  <si>
    <t>Simplification item checklist - completion</t>
  </si>
  <si>
    <t>2.3.6</t>
  </si>
  <si>
    <t>Technical checks &amp; activities - Basis</t>
  </si>
  <si>
    <t>2.3.6.1</t>
  </si>
  <si>
    <t>Check Locks and Update Requests (SM12/SM13)</t>
  </si>
  <si>
    <t>2.3.6.2</t>
  </si>
  <si>
    <t>Queues in SMQ1/SMQ2</t>
  </si>
  <si>
    <t>2.3.6.3</t>
  </si>
  <si>
    <t>Check Hanging IDOCs</t>
  </si>
  <si>
    <t>2.3.6.4</t>
  </si>
  <si>
    <t>Create file name /OTX/PF11_IES_SNAPSHOT_DIR for OpenText VIM Core Capture Profile Backup</t>
  </si>
  <si>
    <t>2.3.6.5</t>
  </si>
  <si>
    <t>Database inconsistencies (DB02)</t>
  </si>
  <si>
    <t>2.3.6.6</t>
  </si>
  <si>
    <t xml:space="preserve">Check Leftover SPAU </t>
  </si>
  <si>
    <t>Handover to SAP ECS for preparation</t>
  </si>
  <si>
    <t>Technical preparations - after handover</t>
  </si>
  <si>
    <t>2.5.1</t>
  </si>
  <si>
    <t>Basis preprations</t>
  </si>
  <si>
    <t>2.5.1.1</t>
  </si>
  <si>
    <t>SAP ECS Upgrade preparation</t>
  </si>
  <si>
    <t>SAP ECS</t>
  </si>
  <si>
    <t>2.5.1.2</t>
  </si>
  <si>
    <t>Review if emergency TR have any impact on upgrade TRs</t>
  </si>
  <si>
    <t>2.5.1.3</t>
  </si>
  <si>
    <t>Finalize all upgrade TRs</t>
  </si>
  <si>
    <t>AUTH</t>
  </si>
  <si>
    <t>2.5.2</t>
  </si>
  <si>
    <t>OTC preparations</t>
  </si>
  <si>
    <t>2.5.2.1</t>
  </si>
  <si>
    <t>Review OTC TRs after ToC</t>
  </si>
  <si>
    <t>Serim/Cosmin</t>
  </si>
  <si>
    <t>2.5.2.2</t>
  </si>
  <si>
    <t>Mass update unloading points for NL customers and open sales orders</t>
  </si>
  <si>
    <t>Cosmin</t>
  </si>
  <si>
    <t>Check with Cosmin</t>
  </si>
  <si>
    <t>2.5.3</t>
  </si>
  <si>
    <t>PTP preparations</t>
  </si>
  <si>
    <t>2.5.3.1</t>
  </si>
  <si>
    <t>Review PTP TRs after ToC</t>
  </si>
  <si>
    <t>Baskaran</t>
  </si>
  <si>
    <t>2.5.4</t>
  </si>
  <si>
    <t>EWM preparations</t>
  </si>
  <si>
    <t>Rogier</t>
  </si>
  <si>
    <t>2.5.4.1</t>
  </si>
  <si>
    <t>Review EWM TRs after ToC+C80</t>
  </si>
  <si>
    <t>Anish</t>
  </si>
  <si>
    <t>2.5.5</t>
  </si>
  <si>
    <t>RTR preparations</t>
  </si>
  <si>
    <t>Elena</t>
  </si>
  <si>
    <t>2.5.5.1</t>
  </si>
  <si>
    <t>Review RTR TRs after ToC</t>
  </si>
  <si>
    <t>Review RTR-VIM TRs after ToC</t>
  </si>
  <si>
    <t>Vikrant</t>
  </si>
  <si>
    <t>2.5.6</t>
  </si>
  <si>
    <t>Security preparations</t>
  </si>
  <si>
    <t>2.5.6.1</t>
  </si>
  <si>
    <t>Review AUTH TRs after ToC</t>
  </si>
  <si>
    <t>Production Upgrade</t>
  </si>
  <si>
    <t>Upgrade: Uptime activities</t>
  </si>
  <si>
    <t>3.1.1</t>
  </si>
  <si>
    <t>SAP ECS: Uptime activities - Start</t>
  </si>
  <si>
    <t>3.1.2</t>
  </si>
  <si>
    <t>Set System message in PE1  for Downtime</t>
  </si>
  <si>
    <t>3.1.3</t>
  </si>
  <si>
    <t>IT Team requests for Fire fighters</t>
  </si>
  <si>
    <t>3.1.4</t>
  </si>
  <si>
    <t>Lock phase (No TR including emergency TRs)</t>
  </si>
  <si>
    <t>Upgrade: Downtime activities</t>
  </si>
  <si>
    <t>3.2.1</t>
  </si>
  <si>
    <t>Business confirms close of business</t>
  </si>
  <si>
    <t>3.2.2</t>
  </si>
  <si>
    <t>OTC activities before downtime</t>
  </si>
  <si>
    <t>3.2.2.1</t>
  </si>
  <si>
    <t>Update NL RDD table to change cutoff time</t>
  </si>
  <si>
    <t>Joyce</t>
  </si>
  <si>
    <t>3.2.2.2</t>
  </si>
  <si>
    <t>Close Kentico and inform Netorder to suspend order submit</t>
  </si>
  <si>
    <t>3.2.2.3</t>
  </si>
  <si>
    <t>Run BE re-scheduling jobs</t>
  </si>
  <si>
    <t>Serim</t>
  </si>
  <si>
    <t>3.2.2.4</t>
  </si>
  <si>
    <t>Execute delivery jobs for NL and BE</t>
  </si>
  <si>
    <t>Re-scheduling job should be completed</t>
  </si>
  <si>
    <t>3.2.2.6</t>
  </si>
  <si>
    <t>Run NL small order cost job - Z_SD_NL_SMALL_ORDER_COST</t>
  </si>
  <si>
    <t>Harsha</t>
  </si>
  <si>
    <t>3.2.2.7</t>
  </si>
  <si>
    <t>Run BE return fee job - ZSD_RETURN_FEE</t>
  </si>
  <si>
    <t>3.2.2.8</t>
  </si>
  <si>
    <t>NL BO output trigger job - Z_SD_NL_BO_OUTPUT_TRIGGER</t>
  </si>
  <si>
    <t>Job Z_EWM_NL_ODO_PGI_TRIGGER should be completed</t>
  </si>
  <si>
    <t>3.2.2.9</t>
  </si>
  <si>
    <t>Execute carrier report - Z_SD_CARRIER_PRE-ANN_RIT10010</t>
  </si>
  <si>
    <t>3.2.2.5</t>
  </si>
  <si>
    <t>Run Netorder full stock interface job - Z_SD_BE_SEND_STOCK_BATCH_FULL</t>
  </si>
  <si>
    <t>3.2.3</t>
  </si>
  <si>
    <t>PTP activities before downtime</t>
  </si>
  <si>
    <t>3.2.3.1</t>
  </si>
  <si>
    <t>Run E3-Update Variant Jobs, both for BE and NL</t>
  </si>
  <si>
    <t xml:space="preserve">Baskaran </t>
  </si>
  <si>
    <t>3.2.3.2</t>
  </si>
  <si>
    <t>Prepone and Run the 16 , MM-E3 realted jobs and send files to E3</t>
  </si>
  <si>
    <t>3.2.3.3</t>
  </si>
  <si>
    <t>Z_MM_BE01_OUTOFSTOCK</t>
  </si>
  <si>
    <t>3.2.3.4</t>
  </si>
  <si>
    <t>Z_MM_NL01_OUTOFSTOCK</t>
  </si>
  <si>
    <t>3.2.3.5</t>
  </si>
  <si>
    <t>Z_MM_BE03_OUTOFSTOCK</t>
  </si>
  <si>
    <t>3.2.3.6</t>
  </si>
  <si>
    <t>Run Job: Z_MM_NL_PR_PO_HILLS</t>
  </si>
  <si>
    <t>3.2.3.7</t>
  </si>
  <si>
    <t>Run Job: Z_MM_NL_SEND_PO_TO_HILLS</t>
  </si>
  <si>
    <t>3.2.3.8</t>
  </si>
  <si>
    <t>Run Job: ZMM_E3_CHANGE_LOG_CLEANING</t>
  </si>
  <si>
    <t>3.2.3.9</t>
  </si>
  <si>
    <t>Last received ASN and Order Confirmation from Pajero</t>
  </si>
  <si>
    <t>3.2.3.10</t>
  </si>
  <si>
    <t>Last received ASN from Animal Care</t>
  </si>
  <si>
    <t>3.2.3.11</t>
  </si>
  <si>
    <t>Run Stock Values (MB5L) before Down Time</t>
  </si>
  <si>
    <t>3.2.3.12</t>
  </si>
  <si>
    <t>Run Stock on Posting Date (MB5B) before Down Time</t>
  </si>
  <si>
    <t>3.2.4</t>
  </si>
  <si>
    <t>EWM activities before downtime</t>
  </si>
  <si>
    <t>3.2.4.1</t>
  </si>
  <si>
    <t>Run job  Z_EWM_NL_ODO_PGI_TRIGGER</t>
  </si>
  <si>
    <t>3.2.4.2</t>
  </si>
  <si>
    <t>Run job Z_EWM_NL_AUTOGI</t>
  </si>
  <si>
    <t>3.2.4.3</t>
  </si>
  <si>
    <t>Check if operations have finished (No more open tasks in Modulix)</t>
  </si>
  <si>
    <t>3.2.4.4</t>
  </si>
  <si>
    <t>Check open WO/WT for NL &amp; BE</t>
  </si>
  <si>
    <t>3.2.4.5</t>
  </si>
  <si>
    <t>Check SMQ1 / SMQ2</t>
  </si>
  <si>
    <t>3.2.5</t>
  </si>
  <si>
    <t>RTR activities before downtime</t>
  </si>
  <si>
    <t>3.2.5.1</t>
  </si>
  <si>
    <r>
      <rPr>
        <sz val="11"/>
        <color rgb="FF0070C0"/>
        <rFont val="Aptos Narrow"/>
        <family val="2"/>
      </rPr>
      <t xml:space="preserve">RTR - Export Trial Balance before system downtime -&gt; </t>
    </r>
    <r>
      <rPr>
        <sz val="11"/>
        <color rgb="FFC00000"/>
        <rFont val="Aptos Narrow"/>
        <family val="2"/>
      </rPr>
      <t>before 3.2.7.2 user lock</t>
    </r>
  </si>
  <si>
    <t>Ronny&amp;Joyce</t>
  </si>
  <si>
    <t>Depends on the other stream completion</t>
  </si>
  <si>
    <t>3.2.5.2</t>
  </si>
  <si>
    <t>Export Chart of Accounts backup SKA1, SKB1, SKAT</t>
  </si>
  <si>
    <t>3.2.5.3</t>
  </si>
  <si>
    <t>Run check BSEG / BKPF / FAGLFLEXA / ACDOCA / ACDOCU (number of records)</t>
  </si>
  <si>
    <t>3.2.5.4</t>
  </si>
  <si>
    <t>Export open items: vendors, customers, gl (total amount and items per company)</t>
  </si>
  <si>
    <t>3.2.5.5</t>
  </si>
  <si>
    <t>Export of trial balances (company code level)</t>
  </si>
  <si>
    <t>3.2.5.6</t>
  </si>
  <si>
    <t>Check last depreciation run (AFABN) successfully posted</t>
  </si>
  <si>
    <t>3.2.5.7</t>
  </si>
  <si>
    <t xml:space="preserve">Export of Financial Statement </t>
  </si>
  <si>
    <t>3.2.5.8</t>
  </si>
  <si>
    <t xml:space="preserve">Check last payment runs (F110) and last bank integrations (EBS) </t>
  </si>
  <si>
    <t>3.2.5.9</t>
  </si>
  <si>
    <t>Check number ranges and posting period variant (all) SE16N</t>
  </si>
  <si>
    <t>3.2.5.10</t>
  </si>
  <si>
    <t>VIM Execute Jobs before Downtime</t>
  </si>
  <si>
    <t>3.2.5.11</t>
  </si>
  <si>
    <t>Z_VIM_VENDOR_DOWNLOAD</t>
  </si>
  <si>
    <t>3.2.5.12</t>
  </si>
  <si>
    <t>Z_VIM_RELEASE BLOCKS MM</t>
  </si>
  <si>
    <t>3.2.5.13</t>
  </si>
  <si>
    <t>Z_VIM_PO_DOWNLOAD</t>
  </si>
  <si>
    <t>3.2.5.14</t>
  </si>
  <si>
    <t>Z_VIM_HEADER_WORKFLOW</t>
  </si>
  <si>
    <t>3.2.5.15</t>
  </si>
  <si>
    <t>Z_VIM_CENTRAL_REPORTING_2</t>
  </si>
  <si>
    <t>3.2.5.16</t>
  </si>
  <si>
    <t>Z_VIM_VENDOR_DOWNLOAD_2</t>
  </si>
  <si>
    <t>3.2.5.17</t>
  </si>
  <si>
    <t>Z_VIM_CENTRAL_REPORTING_1</t>
  </si>
  <si>
    <t>3.2.5.18</t>
  </si>
  <si>
    <t>Z_VIM_RESTART_WORKITEM</t>
  </si>
  <si>
    <t>3.2.5.19</t>
  </si>
  <si>
    <t>Z_FI_BE_VIM_POST</t>
  </si>
  <si>
    <t>3.2.5.20</t>
  </si>
  <si>
    <t>Z_VIM_REREUN_RULES</t>
  </si>
  <si>
    <t>3.2.5.21</t>
  </si>
  <si>
    <t>Z_VIM_RERUN_RULES_2</t>
  </si>
  <si>
    <t>3.2.5.22</t>
  </si>
  <si>
    <t>VIM Create a ML snapshot for Capture Profile</t>
  </si>
  <si>
    <t>After User are blcoked and before SAP starts upgrade</t>
  </si>
  <si>
    <t>3.2.5.23</t>
  </si>
  <si>
    <t>VIM Download the ML snapshot</t>
  </si>
  <si>
    <t>3.2.5.24</t>
  </si>
  <si>
    <t>VIM Download COA backup</t>
  </si>
  <si>
    <t>3.2.5.25</t>
  </si>
  <si>
    <t>VIM Check any last extractions requests</t>
  </si>
  <si>
    <t>3.2.5.26</t>
  </si>
  <si>
    <t>Wholesale - Stop Document Send Process</t>
  </si>
  <si>
    <t>Tracy</t>
  </si>
  <si>
    <t>3.2.6</t>
  </si>
  <si>
    <t>Security activities before downtime</t>
  </si>
  <si>
    <t>3.2.6.1</t>
  </si>
  <si>
    <t>Get list of users currently active</t>
  </si>
  <si>
    <t>3.2.7</t>
  </si>
  <si>
    <t>Basis, Security &amp; Integration activities before downtime</t>
  </si>
  <si>
    <t>3.2.7.1</t>
  </si>
  <si>
    <t>Post a SM02/system message to log off users</t>
  </si>
  <si>
    <t>3.2.7.2</t>
  </si>
  <si>
    <t>Lock dialog users except CoE users &amp; default users - should be done ONLY after green light from all team</t>
  </si>
  <si>
    <t>3.2.7.3</t>
  </si>
  <si>
    <t>Check SMQ1 / SMQ2 / IDOC…....</t>
  </si>
  <si>
    <t>Contact Rogier/Adil</t>
  </si>
  <si>
    <t>3.2.7.4</t>
  </si>
  <si>
    <t>Run jobs before downtime</t>
  </si>
  <si>
    <t>3.2.7.5</t>
  </si>
  <si>
    <t>Suspend all jobs BTCTRNS1</t>
  </si>
  <si>
    <t>3.2.7.6</t>
  </si>
  <si>
    <t>Process Inbound/Outbound Queues (SMQ1 &amp; SMQ2)</t>
  </si>
  <si>
    <t>3.2.7.7</t>
  </si>
  <si>
    <t>Process all IDOCS (BD64 SM58 etc.)</t>
  </si>
  <si>
    <t>3.2.7.8</t>
  </si>
  <si>
    <t xml:space="preserve">Check and take the necessary action for failed and active updates and locks (SM12/SM13) </t>
  </si>
  <si>
    <t>3.2.7.9</t>
  </si>
  <si>
    <t>Check if Any Active job in SM37</t>
  </si>
  <si>
    <t>3.2.7.10</t>
  </si>
  <si>
    <t>Stop Inbound/Outbound Queues if any</t>
  </si>
  <si>
    <t>3.2.7.11</t>
  </si>
  <si>
    <t>Stop SAP CPI interfaces (inbound &amp; outbound)</t>
  </si>
  <si>
    <t>Inform SAP ECS to start upgrade - downtime activities</t>
  </si>
  <si>
    <t>SAP ECS starts downtime</t>
  </si>
  <si>
    <t>3.2.8</t>
  </si>
  <si>
    <t>Communications - start of downtime</t>
  </si>
  <si>
    <t>Post upgrade - technical checks</t>
  </si>
  <si>
    <t>3.3.1</t>
  </si>
  <si>
    <t>SAP ECS completes upgrade</t>
  </si>
  <si>
    <t>3.3.2</t>
  </si>
  <si>
    <t>Check SAP ECS has triggered online back-up</t>
  </si>
  <si>
    <t>3.3.3</t>
  </si>
  <si>
    <t>Technical validation - Basis</t>
  </si>
  <si>
    <t>3.3.3.1</t>
  </si>
  <si>
    <t xml:space="preserve">Execute T-Code Sick </t>
  </si>
  <si>
    <t>3.3.3.2</t>
  </si>
  <si>
    <t>Execute T-Code SCC4. Check Client setting should be same as before Upgrade</t>
  </si>
  <si>
    <t>3.3.3.3</t>
  </si>
  <si>
    <t>Check in SM51. All application server should be Active</t>
  </si>
  <si>
    <t>3.3.3.4</t>
  </si>
  <si>
    <t>Check SMICM. All protocol should be active or status should be as before Upgrade</t>
  </si>
  <si>
    <t>3.3.3.5</t>
  </si>
  <si>
    <t xml:space="preserve">Validate SOST </t>
  </si>
  <si>
    <t>3.3.3.6</t>
  </si>
  <si>
    <t>Execute transaction RZ10 &amp; check active profile version. Should be same as before Upgrade</t>
  </si>
  <si>
    <t>3.3.3.7</t>
  </si>
  <si>
    <t>Execute STMS -&gt; TMS Should be active.</t>
  </si>
  <si>
    <t>3.3.3.8</t>
  </si>
  <si>
    <t>Execute SM61 and check BG Job Server Groups</t>
  </si>
  <si>
    <t>3.3.3.9</t>
  </si>
  <si>
    <t xml:space="preserve">Check RFC Destination </t>
  </si>
  <si>
    <t>3.3.3.10</t>
  </si>
  <si>
    <t>Check Spool Servers</t>
  </si>
  <si>
    <t>3.3.3.11</t>
  </si>
  <si>
    <t>Check Logon Group. T-Code : SMLG</t>
  </si>
  <si>
    <t>3.3.3.12</t>
  </si>
  <si>
    <t xml:space="preserve"> Check SOAMANAGER Configuration</t>
  </si>
  <si>
    <t>3.3.3.13</t>
  </si>
  <si>
    <t>Check Update server is active. T-Code : SM13</t>
  </si>
  <si>
    <t>3.3.3.14</t>
  </si>
  <si>
    <t>Check Repository connectivity. T-Code : OAC0</t>
  </si>
  <si>
    <t>3.3.3.15</t>
  </si>
  <si>
    <t xml:space="preserve">Validate ADS Connection </t>
  </si>
  <si>
    <t>3.3.3.16</t>
  </si>
  <si>
    <t xml:space="preserve">Validate DBACOCKPIT </t>
  </si>
  <si>
    <t>3.3.3.17</t>
  </si>
  <si>
    <t>Check Fiori Link is working</t>
  </si>
  <si>
    <t>3.3.4</t>
  </si>
  <si>
    <t>Open PE1 production system for configuration</t>
  </si>
  <si>
    <t>3.3.5</t>
  </si>
  <si>
    <t xml:space="preserve">Verify Bex - BW apps are working  or not </t>
  </si>
  <si>
    <t>3.3.6</t>
  </si>
  <si>
    <t>Issue Fix - My inbox app is not working(S4UP-99)</t>
  </si>
  <si>
    <t>3.3.7</t>
  </si>
  <si>
    <t>Change setting for Repository DMS_C1(S4UP-1255)</t>
  </si>
  <si>
    <t>3.3.8</t>
  </si>
  <si>
    <t>Close PE1 production system for configuration</t>
  </si>
  <si>
    <t>Are there any activities below which need client opening?</t>
  </si>
  <si>
    <t>3.3.9</t>
  </si>
  <si>
    <t>Technical validation - ABAP (soamanager)</t>
  </si>
  <si>
    <t>Ashish/Alex</t>
  </si>
  <si>
    <t>3.3.10</t>
  </si>
  <si>
    <t>Technical validation - CPI connectivity</t>
  </si>
  <si>
    <t>Uma/Josh</t>
  </si>
  <si>
    <t>Post upgrade - transports &amp; manual activities</t>
  </si>
  <si>
    <t>3.4.1</t>
  </si>
  <si>
    <t>Basis &amp; technical post upgrade activities</t>
  </si>
  <si>
    <t>3.4.1.1</t>
  </si>
  <si>
    <t>CVET Basis - Import SPAU</t>
  </si>
  <si>
    <t>3.4.1.2</t>
  </si>
  <si>
    <t>CVET Basis - Upgrade TRs</t>
  </si>
  <si>
    <t>3.4.1.3</t>
  </si>
  <si>
    <t>Execute the report RSBCS_NUMBER_RANGE manually.(S4UP-84)</t>
  </si>
  <si>
    <t>Ashish/ Serim</t>
  </si>
  <si>
    <t>3.4.1.4</t>
  </si>
  <si>
    <t>Maintain Customizing for storage category" for change inbound delivery app(S4UP-1141)</t>
  </si>
  <si>
    <t>Ashish/Rogier</t>
  </si>
  <si>
    <t>3.4.1.5</t>
  </si>
  <si>
    <t>Maintain the settings in transaction /n/UI2/FLP_SYS_CONF (Ref-S4UP-495)</t>
  </si>
  <si>
    <t>3.4.1.6</t>
  </si>
  <si>
    <t>RTR: Activate structures, Regenerate and Activate Operating Concern KEA0</t>
  </si>
  <si>
    <t>3.4.1.7</t>
  </si>
  <si>
    <t>Perform SM59 Ping Test from PE1 to CPI</t>
  </si>
  <si>
    <t>3.4.1.8</t>
  </si>
  <si>
    <t>Start SAP CPI Interfaces</t>
  </si>
  <si>
    <t>3.4.2</t>
  </si>
  <si>
    <t>OTC post upgrade activities</t>
  </si>
  <si>
    <t>3.4.2.1</t>
  </si>
  <si>
    <t>Run tcode BUSP - OSS note 1621119</t>
  </si>
  <si>
    <t>3.4.2.2</t>
  </si>
  <si>
    <t xml:space="preserve">Acitivate services in SICF - *ATP* , LIBREVALLOCCS1, SUPPROTRACRS1 </t>
  </si>
  <si>
    <t>3.4.2.3</t>
  </si>
  <si>
    <t>Active service SD_LIBBILCOMS1</t>
  </si>
  <si>
    <t>3.4.3</t>
  </si>
  <si>
    <t>PTP post upgrade activities - none</t>
  </si>
  <si>
    <t>3.4.4</t>
  </si>
  <si>
    <t>EWM post upgrade activities - none</t>
  </si>
  <si>
    <t>3.4.5</t>
  </si>
  <si>
    <t>RTR post upgrade activities</t>
  </si>
  <si>
    <t>3.4.5.1</t>
  </si>
  <si>
    <t>Run program for Regeneration of ABAP Coding for Validations/Substitutions/Rules RGUGBR00</t>
  </si>
  <si>
    <t>3.4.5.2</t>
  </si>
  <si>
    <t>Run program for Correction/Change/Activate/Repair special fields RFPOSXEXTEND</t>
  </si>
  <si>
    <t>3.4.5.3</t>
  </si>
  <si>
    <t>Run program for Reset ALV buffer BALVBUFDEL</t>
  </si>
  <si>
    <t>3.4.5.5</t>
  </si>
  <si>
    <t xml:space="preserve">VIM Create an Inbound Destination &amp; Scheduler </t>
  </si>
  <si>
    <t>3.4.5.6</t>
  </si>
  <si>
    <t>VIM Schedule New Staging Jobs</t>
  </si>
  <si>
    <t>3.4.5.7</t>
  </si>
  <si>
    <t>VIM Update &amp; Reactivate Capture Profile with snapshot</t>
  </si>
  <si>
    <t>3.4.6</t>
  </si>
  <si>
    <t>Security post upgrade activities</t>
  </si>
  <si>
    <t>3.4.6.1</t>
  </si>
  <si>
    <t xml:space="preserve">Create CMS_MS user </t>
  </si>
  <si>
    <t>3.4.6.2</t>
  </si>
  <si>
    <t>Follow the instruction 2827260 - Configuration steps for /sap/bc/contentserver service</t>
  </si>
  <si>
    <t>3.4.7</t>
  </si>
  <si>
    <t>Final - Basis &amp; technical post upgrade activities</t>
  </si>
  <si>
    <t>3.4.7.1</t>
  </si>
  <si>
    <t>Regen program RV80HGEN for ABAP</t>
  </si>
  <si>
    <t>3.4.7.2</t>
  </si>
  <si>
    <t>Fiori index regeneration?  /UI5/APP_INDEX_CALCULATE</t>
  </si>
  <si>
    <t>3.4.7.3</t>
  </si>
  <si>
    <t>removing cache, etc?</t>
  </si>
  <si>
    <t xml:space="preserve">Post Upgrade validations </t>
  </si>
  <si>
    <t>Functional &amp; Technical validations</t>
  </si>
  <si>
    <t>4.1.1</t>
  </si>
  <si>
    <t>Checks by OTC</t>
  </si>
  <si>
    <t>4.1.1.1</t>
  </si>
  <si>
    <t>Check main OTC tables and transactions</t>
  </si>
  <si>
    <t>Cosmin/Harsha/Serim</t>
  </si>
  <si>
    <t>4.1.1.2</t>
  </si>
  <si>
    <t>Verify Invoice email output for the old invoices</t>
  </si>
  <si>
    <t>4.1.2</t>
  </si>
  <si>
    <t>Checks by PTP</t>
  </si>
  <si>
    <t>4.1.2.1</t>
  </si>
  <si>
    <t>Check the App: Monitor PO Items</t>
  </si>
  <si>
    <t>4.1.2.2</t>
  </si>
  <si>
    <t>Check the important MM related transactions</t>
  </si>
  <si>
    <t>4.1.2.3</t>
  </si>
  <si>
    <t>Run Stock Values (MB5L) after  Down Time and compare with before Down Time</t>
  </si>
  <si>
    <t>4.1.2.4</t>
  </si>
  <si>
    <t>Run Stock on Posting Date (MB5B) after  Down Time and compare with before Down Time</t>
  </si>
  <si>
    <t>4.1.3</t>
  </si>
  <si>
    <t>Checks by EWM</t>
  </si>
  <si>
    <t>4.1.3.1</t>
  </si>
  <si>
    <t>Check its mobile on RF device</t>
  </si>
  <si>
    <t>4.1.3.2</t>
  </si>
  <si>
    <t>Check Modulix interface</t>
  </si>
  <si>
    <t>4.1.3.3</t>
  </si>
  <si>
    <t>Check FMD warehouse settings BRF+</t>
  </si>
  <si>
    <t>4.1.3.4</t>
  </si>
  <si>
    <t>Check distr model BD64</t>
  </si>
  <si>
    <t>4.1.4</t>
  </si>
  <si>
    <t>Checks by RTR</t>
  </si>
  <si>
    <t>4.1.4.1</t>
  </si>
  <si>
    <t>Verify chart of accounts, ledgers, and fiscal year variants FINSC_LEDGER</t>
  </si>
  <si>
    <t>4.1.4.2</t>
  </si>
  <si>
    <t xml:space="preserve">Compare Trial Balance pre- vs post-upgrade </t>
  </si>
  <si>
    <t>4.1.4.3</t>
  </si>
  <si>
    <t xml:space="preserve">Compare open items pre- vs post-upgrade </t>
  </si>
  <si>
    <t>Differences found. Reason sales posted friday with future date 08.11.2025. OK</t>
  </si>
  <si>
    <t>4.1.4.4</t>
  </si>
  <si>
    <t>Check financial statement versions pre- vs post-upgrade F.01</t>
  </si>
  <si>
    <t>4.1.4.5</t>
  </si>
  <si>
    <t>Check last payment runs (F110) and last bank integrations (EBS) pre- vs post-upgrade</t>
  </si>
  <si>
    <t>4.1.4.6</t>
  </si>
  <si>
    <t xml:space="preserve">Check last depreciation run (AFABN)  pre- vs post-upgrade </t>
  </si>
  <si>
    <t>4.1.4.7</t>
  </si>
  <si>
    <t>Check number ranges and posting period variant (all) pre- vs post-upgrade SE16N</t>
  </si>
  <si>
    <t>Differences found NRIV table</t>
  </si>
  <si>
    <t>4.1.4.8</t>
  </si>
  <si>
    <t>Check BSEG / BKPF / FAGLFLEXA / ACDOCA / ACDOCU (number of records) pre- vs post-upgrade SE16H</t>
  </si>
  <si>
    <t>4.1.4.9</t>
  </si>
  <si>
    <r>
      <rPr>
        <sz val="11"/>
        <color rgb="FF0070C0"/>
        <rFont val="Aptos Narrow"/>
        <family val="2"/>
      </rPr>
      <t xml:space="preserve">RTR - Check Trial Balance compare pre vs post-upgrade -&gt; </t>
    </r>
    <r>
      <rPr>
        <sz val="11"/>
        <color rgb="FFC00000"/>
        <rFont val="Aptos Narrow"/>
        <family val="2"/>
      </rPr>
      <t>before jobs start and smoke test starts</t>
    </r>
  </si>
  <si>
    <t>Ronny</t>
  </si>
  <si>
    <t>4.1.4.10</t>
  </si>
  <si>
    <t>VIM Check Archive Connectivity</t>
  </si>
  <si>
    <t>4.1.4.11</t>
  </si>
  <si>
    <t>VIM Check connectivity with the Core Capture</t>
  </si>
  <si>
    <t>4.1.4.12</t>
  </si>
  <si>
    <t>VIM Check Status of Capture Profile</t>
  </si>
  <si>
    <t>4.1.4.13</t>
  </si>
  <si>
    <t>VIM Smoke Test - Process Invoice Inbound via Email for both BE and NL Email addresses</t>
  </si>
  <si>
    <t>4.1.4.14</t>
  </si>
  <si>
    <t>Process Master Data ALE Connection - GLMAST, GLCORE, PRCMAS, COSMAS</t>
  </si>
  <si>
    <t>Tracy Stevenson</t>
  </si>
  <si>
    <t>Test GL Jira Tickets available for this testing -SE1-QE1-PE1 for smoke testing wait for Ashish to set this up (until DE1 becomes available)</t>
  </si>
  <si>
    <t>4.1.4.15</t>
  </si>
  <si>
    <t>Run UK Custom Reports - Customer Aging Report - Credit Utilisation</t>
  </si>
  <si>
    <t>4.1.4.16</t>
  </si>
  <si>
    <t>Send Wholesale Accounting Docs</t>
  </si>
  <si>
    <t>4.1.4.17</t>
  </si>
  <si>
    <t>Wholesale - Restart Document Send Process</t>
  </si>
  <si>
    <t>Sample documents to be sent as part of Smoke Test</t>
  </si>
  <si>
    <t>4.1.4.18</t>
  </si>
  <si>
    <t>Check unavailable apps / deprecated apps / available with successor</t>
  </si>
  <si>
    <t>2 topics identified. Not critical. Jira incident will be opend to vipin</t>
  </si>
  <si>
    <t>4.1.4.19</t>
  </si>
  <si>
    <t>Smoke Test - Electronic Bank statement import (FF_5) and processing (FEBAN)</t>
  </si>
  <si>
    <t>4.1.4.20</t>
  </si>
  <si>
    <t>Smoke Test - Customer Invoice FI (FB70)</t>
  </si>
  <si>
    <t>4.1.4.21</t>
  </si>
  <si>
    <t>Smoke Test - Vendor Invoice (MIRO)</t>
  </si>
  <si>
    <t>4.1.4.22</t>
  </si>
  <si>
    <t>Smoke Test - payment run (F110) and import file in ING bank</t>
  </si>
  <si>
    <t>4.1.4.23</t>
  </si>
  <si>
    <t>Smoke Test - dunning (F150) and Account statement (F.27)</t>
  </si>
  <si>
    <t>4.1.5</t>
  </si>
  <si>
    <t>Checks by Technical</t>
  </si>
  <si>
    <t>4.1.5.1</t>
  </si>
  <si>
    <t>none</t>
  </si>
  <si>
    <t>4.1.6</t>
  </si>
  <si>
    <t>Checks by Security</t>
  </si>
  <si>
    <t>4.1.6.1</t>
  </si>
  <si>
    <t>Prepare for release to business</t>
  </si>
  <si>
    <t>4.2.1</t>
  </si>
  <si>
    <t>Unlock all dialog users</t>
  </si>
  <si>
    <t>4.2.2</t>
  </si>
  <si>
    <t>Smoke test</t>
  </si>
  <si>
    <t>Business</t>
  </si>
  <si>
    <t>4.2.4</t>
  </si>
  <si>
    <t>Inform all users &amp; 3rd-party</t>
  </si>
  <si>
    <t>Lorenzo/Nav</t>
  </si>
  <si>
    <t>Run jobs after smoke test confirmation</t>
  </si>
  <si>
    <t>4.3.1</t>
  </si>
  <si>
    <t>OTC exception activities - Run jobs &amp; checks</t>
  </si>
  <si>
    <t>4.3.1.1</t>
  </si>
  <si>
    <t>4.3.1.2</t>
  </si>
  <si>
    <t>Job Z_SD_NL_3PL_SND-OVERVIEW should be executed with Friday data</t>
  </si>
  <si>
    <t>4.3.1.3</t>
  </si>
  <si>
    <t>Job ZSD_SO_EMAIL_IVC should be executed with Friday data</t>
  </si>
  <si>
    <t>4.3.1.4</t>
  </si>
  <si>
    <t>Job Z_SD_BE_INVOICE_CREATE should be executed</t>
  </si>
  <si>
    <t>4.3.1.5</t>
  </si>
  <si>
    <t>Job Z_SD_NL_INVOICE_CREATE should be executed</t>
  </si>
  <si>
    <t>4.3.1.6</t>
  </si>
  <si>
    <t>Job Z_SD_NL_INVOICE_OUTPUT_TRIGGER should be executed</t>
  </si>
  <si>
    <t>4.3.2</t>
  </si>
  <si>
    <t>PTP exception activities - Run jobs &amp; checks</t>
  </si>
  <si>
    <t>4.3.2.1</t>
  </si>
  <si>
    <t>Run MM related CPI jobs to process the MSD files , which are received during S4H-Down Time</t>
  </si>
  <si>
    <t>Baskaran / Uma</t>
  </si>
  <si>
    <t>4.3.2.2</t>
  </si>
  <si>
    <t>Process the ASN messages from Pagero, which are received during S4H-Down Time</t>
  </si>
  <si>
    <t>4.3.2.3</t>
  </si>
  <si>
    <t>Process the ASN messages from Animal care, which are received during S4H-Down Time</t>
  </si>
  <si>
    <t>4.3.3</t>
  </si>
  <si>
    <t>RTR exception activities - Run jobs &amp; checks</t>
  </si>
  <si>
    <t>4.3.3.1</t>
  </si>
  <si>
    <t>Job Z_SD_EU_COPA should be executed</t>
  </si>
  <si>
    <t>4.3.4</t>
  </si>
  <si>
    <t>EWM exception activities - Run jobs &amp; checks</t>
  </si>
  <si>
    <t>4.3.4.1</t>
  </si>
  <si>
    <t>4.3.5</t>
  </si>
  <si>
    <t>Basis - Release all jobs &amp; checks</t>
  </si>
  <si>
    <t>4.3.5.1</t>
  </si>
  <si>
    <t>Release all jobs</t>
  </si>
  <si>
    <t>Go-Live  OR Fall-back</t>
  </si>
  <si>
    <t>4.4.1</t>
  </si>
  <si>
    <t>Go Live</t>
  </si>
  <si>
    <t>4.4.2</t>
  </si>
  <si>
    <t>Fall-back</t>
  </si>
  <si>
    <t>Hypercare</t>
  </si>
  <si>
    <t>BAU Business validations - Post Go-Live</t>
  </si>
  <si>
    <t>5.1.1</t>
  </si>
  <si>
    <t>Validations by Business users - UK</t>
  </si>
  <si>
    <t>5.1.2</t>
  </si>
  <si>
    <t>Validations by Business users - DE/AT</t>
  </si>
  <si>
    <t>5.1.3</t>
  </si>
  <si>
    <t>BeNe Tableau</t>
  </si>
  <si>
    <t>5.1.4</t>
  </si>
  <si>
    <t>BeNe salesforce</t>
  </si>
  <si>
    <t>5.1.5</t>
  </si>
  <si>
    <t>Snowflake</t>
  </si>
  <si>
    <t>5.1.6</t>
  </si>
  <si>
    <t>E3 interfaces</t>
  </si>
  <si>
    <t>5.1.7</t>
  </si>
  <si>
    <t>EDI: Pagero</t>
  </si>
  <si>
    <t>5.1.8</t>
  </si>
  <si>
    <t>EDI: Animal care</t>
  </si>
  <si>
    <t>Start Development upgrade</t>
  </si>
  <si>
    <t>Teams availaiblity over the weekend</t>
  </si>
  <si>
    <t>Saturday all remote</t>
  </si>
  <si>
    <t>IT COE</t>
  </si>
  <si>
    <t xml:space="preserve">BE </t>
  </si>
  <si>
    <t xml:space="preserve">NL </t>
  </si>
  <si>
    <t>Remote</t>
  </si>
  <si>
    <t>Cosmin Martin &lt;cosmin.martin@maravet.com&gt;</t>
  </si>
  <si>
    <t>x</t>
  </si>
  <si>
    <t>Elena-Iuliana Mazilu &lt;elena-iuliana.mazilu@covetrus.com&gt;</t>
  </si>
  <si>
    <t>Alexandru Costea &lt;alexandru.costea@maravet.com&gt;</t>
  </si>
  <si>
    <t>Adil Mouslim &lt;adil.mouslim@covetrus.com&gt;</t>
  </si>
  <si>
    <t>Anish Balachandran &lt;anish.balachandran@covetrus.com&gt;</t>
  </si>
  <si>
    <t>Vikrant Patil &lt;vikrant.patil@covetrus.com&gt;</t>
  </si>
  <si>
    <t>Tracy Stevenson &lt;tracy.stevenson@covetrus.com&gt;</t>
  </si>
  <si>
    <t>Rogier Huizing &lt;rogier.huizing@covetrus.com&gt;</t>
  </si>
  <si>
    <t>Baskaran Srinivasan &lt;Baskaran.Srinivasan@covetrus.com&gt;</t>
  </si>
  <si>
    <t>Rajesh Avinjikat &lt;rajesh.avinjikat@covetrus.com&gt;</t>
  </si>
  <si>
    <t>Harsha Vardhan Reddy Bobbala &lt;harshavardhanreddy.bobbala@covetrus.com&gt;</t>
  </si>
  <si>
    <t>Ashish Bamane &lt;Ashish.Bamane@covetrus.com&gt;</t>
  </si>
  <si>
    <t>Joshpeter Ramanathan &lt;Joshpeter.Ramanathan@covetrus.com&gt;</t>
  </si>
  <si>
    <t>Uma Chougule &lt;uma.chougule@covetrus.com&gt;</t>
  </si>
  <si>
    <t>Vipin Yadav &lt;Vipin.Yadav@covetrus.com&gt;</t>
  </si>
  <si>
    <t>Serim Sari &lt;serim.sari@covetrus.com&gt;</t>
  </si>
  <si>
    <t>Nav Singh</t>
  </si>
  <si>
    <t>Astrid</t>
  </si>
  <si>
    <t>Business teams</t>
  </si>
  <si>
    <t>Kobie Eerdekens (OTC)</t>
  </si>
  <si>
    <t>Lara Nuyts (OTC)</t>
  </si>
  <si>
    <t>Tanja Vanspauwen (EWM)</t>
  </si>
  <si>
    <t>Miet Moors (EWM)</t>
  </si>
  <si>
    <t>Ken Henrotte (EWM)</t>
  </si>
  <si>
    <t>Pieter Driesen (EWM)</t>
  </si>
  <si>
    <t>Tom Moors (EWM)</t>
  </si>
  <si>
    <t>Franco Zito (EWM)</t>
  </si>
  <si>
    <t>Bart Vandebeek (EWM)</t>
  </si>
  <si>
    <t>Ilse Vanempten (EWM)</t>
  </si>
  <si>
    <t>Raf Put (EWM)</t>
  </si>
  <si>
    <t>Jelle Claes (PTP)</t>
  </si>
  <si>
    <t>Emmely Snoeks (PTP)</t>
  </si>
  <si>
    <t>Katrien Verhagen (MD)</t>
  </si>
  <si>
    <t>Ronny Ebbers (RTR)</t>
  </si>
  <si>
    <t>Joyce Hopman (RTR)</t>
  </si>
  <si>
    <t>Rene Fleuren (RTR)</t>
  </si>
  <si>
    <t>Bart vd Boom (EWM)</t>
  </si>
  <si>
    <t>Aurimas Budvytis (EWM)</t>
  </si>
  <si>
    <t>Gaby Mijnders (EWM)</t>
  </si>
  <si>
    <t>Hajira Tmimi (EWM)</t>
  </si>
  <si>
    <t>Inge de Beer (EWM)</t>
  </si>
  <si>
    <t>Reno van Dreumel (EWM)</t>
  </si>
  <si>
    <t>Justin Muskens (EWM)</t>
  </si>
  <si>
    <t>Mayke Coopmans (OTC)</t>
  </si>
  <si>
    <t>Joyce Muis (OTC)</t>
  </si>
  <si>
    <t>SE1K900102</t>
  </si>
  <si>
    <t>TOC-[AUTH] S4 Upgrade: Catalogs &amp; Groups updated</t>
  </si>
  <si>
    <t>SE1K900229</t>
  </si>
  <si>
    <t xml:space="preserve">Merge transport </t>
  </si>
  <si>
    <t>SE1K900244</t>
  </si>
  <si>
    <t xml:space="preserve"> S4UP-88: ATPCheck issue in VA01</t>
  </si>
  <si>
    <t>SE1K900211</t>
  </si>
  <si>
    <t>[Upgrade] Security role fixes</t>
  </si>
  <si>
    <t>SE1K900246</t>
  </si>
  <si>
    <t>[Upgrade] Security role fixes v2</t>
  </si>
  <si>
    <t>SE1K900272</t>
  </si>
  <si>
    <t>Auth : S4UP-350 RTR app fix</t>
  </si>
  <si>
    <t>SE1K900274</t>
  </si>
  <si>
    <t>Auth 350 : security changes</t>
  </si>
  <si>
    <t>SE1K900294</t>
  </si>
  <si>
    <t xml:space="preserve">TOC : S4UP-495 Open Fiori A
</t>
  </si>
  <si>
    <t xml:space="preserve">SE1K900299 </t>
  </si>
  <si>
    <t>S4UP-11 Auth Mass tcode su24 with object F_LF</t>
  </si>
  <si>
    <t>SE1K900303</t>
  </si>
  <si>
    <t>SE1K900305</t>
  </si>
  <si>
    <t>SE1K900307</t>
  </si>
  <si>
    <t>SE1K900322</t>
  </si>
  <si>
    <t xml:space="preserve"> S4UP-984 Auth: update VL06 with new objects</t>
  </si>
  <si>
    <t>SE1K900324</t>
  </si>
  <si>
    <t>SE1K900339</t>
  </si>
  <si>
    <t>auth upgrade 1156 update tcode MASS with object f_lfa1_app</t>
  </si>
  <si>
    <t>SE1K900341</t>
  </si>
  <si>
    <t>SE1K900349</t>
  </si>
  <si>
    <t>AUTH-982 : ADD FS-XXXXXXX-WM-DIS-AUTO-STOCK TO sUP ROLE</t>
  </si>
  <si>
    <t>SE1K900351</t>
  </si>
  <si>
    <t>AUTH-UP1074: NOT ABLE TO OPEN WAREHOUSE TASK</t>
  </si>
  <si>
    <t>SE1K900355</t>
  </si>
  <si>
    <t xml:space="preserve"> S4UP-1174 Auth: update /SCWM/DLV2 with PDI</t>
  </si>
  <si>
    <t>SE1K900357</t>
  </si>
  <si>
    <t>AUTH S4UP: 1231: update object S_DMC_S_R</t>
  </si>
  <si>
    <t>SE1K900359</t>
  </si>
  <si>
    <t>auth s4up:1141: added 01 in  /SCWM/ATTS</t>
  </si>
  <si>
    <t>SE1K900385</t>
  </si>
  <si>
    <t>auth: 1217: app F1751 (Credit Limit Utilization (S/4HANA)</t>
  </si>
  <si>
    <t>SE1K900393</t>
  </si>
  <si>
    <t>auth 1257: add ZUI_ATPSELECTOPTIONTOO</t>
  </si>
  <si>
    <t>SE1K900414</t>
  </si>
  <si>
    <t>AUTH 1217:app F1751 fix</t>
  </si>
  <si>
    <t xml:space="preserve">SE1K900424 </t>
  </si>
  <si>
    <t xml:space="preserve"> auth 1293: add ZVEN in role</t>
  </si>
  <si>
    <t>SE1K900434</t>
  </si>
  <si>
    <t>auth 1302: 3027 and 3029 in k_cca</t>
  </si>
  <si>
    <t>SE1K900444</t>
  </si>
  <si>
    <t>auth 1297: add C_CABN</t>
  </si>
  <si>
    <t>SE1K900442</t>
  </si>
  <si>
    <t xml:space="preserve">SE1K900455 </t>
  </si>
  <si>
    <t>auth 1269: add deletion option to enable blocks</t>
  </si>
  <si>
    <t xml:space="preserve">SE1K900457 </t>
  </si>
  <si>
    <t>auth 1305: added new service for F3616</t>
  </si>
  <si>
    <t>SE1K900459</t>
  </si>
  <si>
    <t>AUTH 1299: VIEW LOGS AUTOMATIC PAY</t>
  </si>
  <si>
    <t xml:space="preserve">SE1K900461 </t>
  </si>
  <si>
    <t>auth 1212: add tcode S_ALR_87012082</t>
  </si>
  <si>
    <t xml:space="preserve">SE1K900477 </t>
  </si>
  <si>
    <t>auth: 1248: add s_dataset for S_ALR_87009940_BE</t>
  </si>
  <si>
    <t>SE1K900475</t>
  </si>
  <si>
    <t xml:space="preserve">SE1K900482 </t>
  </si>
  <si>
    <t xml:space="preserve"> auth 1322: add trial balance app</t>
  </si>
  <si>
    <t xml:space="preserve">SE1K900491 </t>
  </si>
  <si>
    <t>auth 1325: add tcode ZPTP_PRICING</t>
  </si>
  <si>
    <t xml:space="preserve">SE1K900498 </t>
  </si>
  <si>
    <t>AUTH 1299: UPDATE S_DATASET</t>
  </si>
  <si>
    <t>SE1K900516</t>
  </si>
  <si>
    <t>auth 1161: add f_bkpf_koa</t>
  </si>
  <si>
    <t>SE1K900514</t>
  </si>
  <si>
    <t>SE1K900518</t>
  </si>
  <si>
    <t>auth 1340: semantic mapping correction for CXCD</t>
  </si>
  <si>
    <t xml:space="preserve">SE1K900527 </t>
  </si>
  <si>
    <t>auth 1255: add statuatory reports</t>
  </si>
  <si>
    <t xml:space="preserve">SE1K900438       </t>
  </si>
  <si>
    <t>1346 - 3341894 - Syntax error on CL_GRAC_OIF_ERM_ROLEDEF</t>
  </si>
  <si>
    <t xml:space="preserve">SE1K900534 </t>
  </si>
  <si>
    <t>auth 1255: f1515 app fix</t>
  </si>
  <si>
    <t>SE1K900545</t>
  </si>
  <si>
    <t xml:space="preserve">  Auth 1255: Fix application job F1240</t>
  </si>
  <si>
    <t xml:space="preserve">SE1K900552 </t>
  </si>
  <si>
    <t>auth 1323 : Update kokrs to * in GR roles</t>
  </si>
  <si>
    <t>SE1K900642</t>
  </si>
  <si>
    <t>Auth : 1255: stat run report</t>
  </si>
  <si>
    <t>CPI PROD Active Interfaces</t>
  </si>
  <si>
    <t>Interface Executed Post Upgrade?
Yes/No</t>
  </si>
  <si>
    <t>Workstream</t>
  </si>
  <si>
    <t>Sender</t>
  </si>
  <si>
    <t>Sender Adapter</t>
  </si>
  <si>
    <t>Receiver</t>
  </si>
  <si>
    <t>Receiver Adapter</t>
  </si>
  <si>
    <t>Triggered By ?
Sender/ CPI Timer/ S4 Program</t>
  </si>
  <si>
    <t xml:space="preserve">S4 Program </t>
  </si>
  <si>
    <t>Related iFlows</t>
  </si>
  <si>
    <t>Undeploy/ Deploy during PE1 Downtime?</t>
  </si>
  <si>
    <t>Interface Stopped (Yes/No)</t>
  </si>
  <si>
    <t>Smoke Test (Success/Failed)</t>
  </si>
  <si>
    <t>Post Upgrade /
Status of CPI Int. Started ( Yes/No)</t>
  </si>
  <si>
    <t>PRD_AnimalCare_S4H_ASN</t>
  </si>
  <si>
    <t>Yes</t>
  </si>
  <si>
    <t>PTP(Baskaran)</t>
  </si>
  <si>
    <t>AnimalCare</t>
  </si>
  <si>
    <t>HTTPS</t>
  </si>
  <si>
    <t>S4</t>
  </si>
  <si>
    <t>Idoc</t>
  </si>
  <si>
    <t>NA</t>
  </si>
  <si>
    <t>Should be undeployed during upgrade</t>
  </si>
  <si>
    <t>PRD_AnimalCare_S4H_OrderResponse</t>
  </si>
  <si>
    <t>S4H_AnimalCare_Order</t>
  </si>
  <si>
    <t>Process Direct</t>
  </si>
  <si>
    <t>S4 Program</t>
  </si>
  <si>
    <t>?</t>
  </si>
  <si>
    <t>Z_CPI_IDoc_CommonFlow
Z_NL_S4H_Orders_Dispatcher</t>
  </si>
  <si>
    <t>TBD / No need to undeploy as there will be no trigger from S4</t>
  </si>
  <si>
    <t>Receive_AccountsReceivable_From_Wholesale_To_S4HANA</t>
  </si>
  <si>
    <t>RTR(Tracy)</t>
  </si>
  <si>
    <t>Wholesaler</t>
  </si>
  <si>
    <t>SOAP</t>
  </si>
  <si>
    <t>S4H_E3Catalyst_Material</t>
  </si>
  <si>
    <t>E3</t>
  </si>
  <si>
    <t>SFTP</t>
  </si>
  <si>
    <t>CPI Timer-Monday to Friday 2:00AM CET</t>
  </si>
  <si>
    <t>Z_EU_E3_PurchaseRequisition_S4</t>
  </si>
  <si>
    <t xml:space="preserve">Sender-SFTP Polling Every 5min </t>
  </si>
  <si>
    <t>Z_NL_E3_PurchaseRequisition_S4</t>
  </si>
  <si>
    <t>Z_BE_E3_Deal File_To_S4</t>
  </si>
  <si>
    <t xml:space="preserve">Sender-SFTP Polling Every 1min </t>
  </si>
  <si>
    <t>Z_BE_S4_DealFile_To_E3</t>
  </si>
  <si>
    <t>Z_EU_S4_BookingFile_To_E3</t>
  </si>
  <si>
    <t>Z_EU_S4_DailyItemStockStatus_To_E3</t>
  </si>
  <si>
    <t>Z_EU_S4_ItemDiscount_To_E3</t>
  </si>
  <si>
    <t>Z_EU_S4_MaterialDescription_To_E3</t>
  </si>
  <si>
    <t>Z_EU_S4_MaterialOutbound_To_E3</t>
  </si>
  <si>
    <t>Z_EU_S4_OrderExpedite_To_E3</t>
  </si>
  <si>
    <t>Z_EU_S4_ReceivingFile_To_E3</t>
  </si>
  <si>
    <t>Z_EU_S4_VendorFile_To_E3</t>
  </si>
  <si>
    <t>S4H_SnowFlake_Customer_BE</t>
  </si>
  <si>
    <t>SnowFlake</t>
  </si>
  <si>
    <t>AmazonWebServices</t>
  </si>
  <si>
    <t>CPI Timer-Every Monday 12:00AM UTC</t>
  </si>
  <si>
    <t>S4H_SnowFlake_Customer_NL</t>
  </si>
  <si>
    <t>CPI Timer-Every Sunday 11:40PM UTC</t>
  </si>
  <si>
    <t>S4H_SnowFlake_Invoice_BE</t>
  </si>
  <si>
    <t>CPI Timer-Every Monday 03:40AM UTC</t>
  </si>
  <si>
    <t>S4H_SnowFlake_Invoice_NL</t>
  </si>
  <si>
    <t>CPI Timer-Every Monday 04:30AM UTC</t>
  </si>
  <si>
    <t>S4H_SnowFlake_Manufacturer_BE_NL</t>
  </si>
  <si>
    <t>CPI Timer-Every Sunday 10:40PM UTC</t>
  </si>
  <si>
    <t>S4H_SnowFlake_PO_BE</t>
  </si>
  <si>
    <t>CPI Timer-Every Sunday 10:00PM UTC</t>
  </si>
  <si>
    <t>S4H_SnowFlake_PO_NL</t>
  </si>
  <si>
    <t>CPI Timer-Every Sunday 09:00PM UTC</t>
  </si>
  <si>
    <t>Z1001_S4H_SnowFlake_Product_BE</t>
  </si>
  <si>
    <t>CPI Timer-Every Sunday 11:20PM UTC</t>
  </si>
  <si>
    <t>Z1001_S4H_SnowFlake_Product_NL</t>
  </si>
  <si>
    <t>CPI Timer-Every Sunday 11:00PM UTC</t>
  </si>
  <si>
    <t>S4H_SnowFlake_PriceList_BE</t>
  </si>
  <si>
    <t>CPI Timer-Every Month Starting from 2025-08-09 04:00AM UTC</t>
  </si>
  <si>
    <t>S4H_SnowFlake_SalesOrder_BE</t>
  </si>
  <si>
    <t>CPI Timer-Every Monday 04:20 AM UTC</t>
  </si>
  <si>
    <t>S4H_SnowFlake_SalesOrder_NL</t>
  </si>
  <si>
    <t>CPI Timer-Every Monday 04:11 AM UTC</t>
  </si>
  <si>
    <t>S4H_SnowFlake_Supplier_BE</t>
  </si>
  <si>
    <t>CPI Timer-Every Sunday 10:00 PM UTC</t>
  </si>
  <si>
    <t>S4H_SnowFlake_Supplier_NL</t>
  </si>
  <si>
    <t>CPI Timer-Every Sunday 10:20 PM UTC</t>
  </si>
  <si>
    <t>S4H_SnowFlake_SupplierInvoice_BE</t>
  </si>
  <si>
    <t>CPI Timer-Every Monday 03:00 AM UTC</t>
  </si>
  <si>
    <t>S4H_SnowFlake_SupplierInvoice_NL</t>
  </si>
  <si>
    <t>CPI Timer-Every Monday 02:30 AM UTC</t>
  </si>
  <si>
    <t>S4H_Tableau_Purchaseprice_BE</t>
  </si>
  <si>
    <t>Odata</t>
  </si>
  <si>
    <t>Tableau</t>
  </si>
  <si>
    <t>JDBC</t>
  </si>
  <si>
    <t>CPI Timer-1:45AM CET</t>
  </si>
  <si>
    <t>S4H_Tableau_Purchaseprice_NL</t>
  </si>
  <si>
    <t>CPI Timer-8:15AM CET</t>
  </si>
  <si>
    <t>Z_BE_S4H_CustomerMaster_To_SalesforceTableau</t>
  </si>
  <si>
    <t xml:space="preserve">SalesForce,
Tableau </t>
  </si>
  <si>
    <t>Salesforce,
JDBC</t>
  </si>
  <si>
    <t xml:space="preserve">S4 Program
Delta Load Every Hour - From 10:00AM CET to 11:00PM CET
Full Load - 12:10AM CET </t>
  </si>
  <si>
    <t>ZSD_SF_CUSTOMER_ACC_BE_DAILY</t>
  </si>
  <si>
    <t>Z_BE_S4H_Deliveries_To_SalesForce</t>
  </si>
  <si>
    <t>SalesForce</t>
  </si>
  <si>
    <t>Salesforce</t>
  </si>
  <si>
    <t>Z_BE_S4H_ProductMaster_To_SalesForceTableau</t>
  </si>
  <si>
    <t xml:space="preserve">S4 Program
Full Load - 12:46AM CET </t>
  </si>
  <si>
    <t>ZMM_SF_PRODUCT_MASTER_BE</t>
  </si>
  <si>
    <t>Z_BE_S4H_Salesorder_To_SalesForce</t>
  </si>
  <si>
    <t>ZSD_SEND_TABLEAU_SAL_DETAILS</t>
  </si>
  <si>
    <t>Z_BE_S4H_VendorMaster_To_SalesForceTableau</t>
  </si>
  <si>
    <t>S4 Program
Full Load - 12:10AM CET</t>
  </si>
  <si>
    <t>ZMM_SF_VENDOR_INTERFACE</t>
  </si>
  <si>
    <t>Z_NL_S4H_ProductMaster_To_SalesForce_Tableau</t>
  </si>
  <si>
    <t>Z_NL_S4H_Pricebook_To_SalesForce</t>
  </si>
  <si>
    <t>S4 Program
Full Load - Between 3:28AM to 3:40AM CET</t>
  </si>
  <si>
    <t>Z_NL_S4H_CustomerMaster_To_Salesforce_TABLEAU</t>
  </si>
  <si>
    <t>S4 Program
Full Load - Between 3.15AM to 3:24AM CET</t>
  </si>
  <si>
    <t>ZSD_SF_CUSTOMER_MASTER_NL_IF</t>
  </si>
  <si>
    <t>Z_BENL_S4_COPA_To_Tableau_Routing</t>
  </si>
  <si>
    <t>RTR (Elena)</t>
  </si>
  <si>
    <t xml:space="preserve">CPI </t>
  </si>
  <si>
    <t>S4 Program
Delta Load - 05:15AM CET</t>
  </si>
  <si>
    <t>ZFI_SEND_COPA_DETAILS</t>
  </si>
  <si>
    <t>Z1001_S4_BE_COPA_To_Tableau
Z2001_S4_NL_COPA_To_Tableau</t>
  </si>
  <si>
    <t>Z1001_S4_BE_COPA_To_Tableau</t>
  </si>
  <si>
    <t>Z2001_S4_NL_COPA_To_Tableau</t>
  </si>
  <si>
    <t>Z_BENL_S4_DELIVERY_To_Tableau</t>
  </si>
  <si>
    <t>Tableau
CPI</t>
  </si>
  <si>
    <t xml:space="preserve">JDBC
Process Direct </t>
  </si>
  <si>
    <t xml:space="preserve">S4 Program
Delta Load NL - 3:30AM CET
Delta Load BE - 5:15AM CET </t>
  </si>
  <si>
    <t>ZSD_SEND_TABLEAU_DEL_DETAILS</t>
  </si>
  <si>
    <t>Z_BENL_S4_DELIVERY_To_Tableau_ReadSQL</t>
  </si>
  <si>
    <t>Z_NL_S4_PRICING_To_Tableau</t>
  </si>
  <si>
    <t>CPI Timer
Delta Load - 4:00AM CET</t>
  </si>
  <si>
    <t>Z_BE_S4_PRICING_To_Tableau</t>
  </si>
  <si>
    <t>Z_NL_S4H_InvoiceBilling_To_SalesForce</t>
  </si>
  <si>
    <t>S4 Program
Delta Load - 3:30AM CET</t>
  </si>
  <si>
    <t>ZSD_SALESFORCE_BILLING_EU</t>
  </si>
  <si>
    <t>Z_NL_S4H_OpiumDeliveries_To_SalesForce</t>
  </si>
  <si>
    <t>S4 Program
Delta Load -3:30AM CET</t>
  </si>
  <si>
    <t>ZSD_SEND_DELV_SALESFORCE</t>
  </si>
  <si>
    <t>Z_BE_S4_SalesOrder_To_Tableau</t>
  </si>
  <si>
    <t>S4 Program
Delta Load - 5:15AM CET</t>
  </si>
  <si>
    <t>Z_AUV_Webshop_Product_ColourCode</t>
  </si>
  <si>
    <t xml:space="preserve">CPI Timer
Full Load -  7:00AM CET </t>
  </si>
  <si>
    <t>Z_NL_MasterData_Product_SF_To_MSSQL_FullLoad</t>
  </si>
  <si>
    <t xml:space="preserve">CPI Timer
Full Load -  5:00AM CET </t>
  </si>
  <si>
    <t>Z_AUV_SQL_Product_Report_Evidensia</t>
  </si>
  <si>
    <t>Evidensia</t>
  </si>
  <si>
    <t>CPI Timer
Full Load - 10:00PM</t>
  </si>
  <si>
    <t>Z_EU_S4_Invoice_To_Evidensia</t>
  </si>
  <si>
    <t>Z_CPI_IDoc_CommonFlow</t>
  </si>
  <si>
    <t>Z_AUV_Webshop_Overzichten</t>
  </si>
  <si>
    <t>Email</t>
  </si>
  <si>
    <t>Mail</t>
  </si>
  <si>
    <t>CPI Timer
?? Load - 6:00AM CET</t>
  </si>
  <si>
    <t>Z_BE_EHealth_SalesOrder_To_S4</t>
  </si>
  <si>
    <t>Ehealth</t>
  </si>
  <si>
    <t>AS2</t>
  </si>
  <si>
    <t xml:space="preserve">Sender
Real Time
Sends order only on Wednesday </t>
  </si>
  <si>
    <t>Z_BE_S4_SalesOrderConfirmation_To_EHealth</t>
  </si>
  <si>
    <t>EHealth</t>
  </si>
  <si>
    <t>S4
Real Time</t>
  </si>
  <si>
    <t>Z_EU_S4_SalesOrderResponse_To_Webshops3PL</t>
  </si>
  <si>
    <t>Z_BE_S4_DeliveryNote_To_Ehealth</t>
  </si>
  <si>
    <t>No</t>
  </si>
  <si>
    <t>Z_BE_Netorder_SalesOrderSimulate_To_S4</t>
  </si>
  <si>
    <t>NetOrder</t>
  </si>
  <si>
    <t xml:space="preserve">S4 </t>
  </si>
  <si>
    <t>Sender
Real Time</t>
  </si>
  <si>
    <t>Z_BE_Netorder_SalesOrder_To_S4</t>
  </si>
  <si>
    <t>Z_BE_S4_InventoryOutbound_To_NetOrder</t>
  </si>
  <si>
    <t>Z_BE_S4_DeliveryConfirmation_To_NetOrder</t>
  </si>
  <si>
    <t>Z_BE_S4_FreeGoods_To_NetOrder</t>
  </si>
  <si>
    <t>Z_BE_S4_MaterialDetermination_To_NetOrder</t>
  </si>
  <si>
    <t>Z_NL_Kentico_SalesOrder_To_S4</t>
  </si>
  <si>
    <t>Z_NL_Kentico_SARandATP_To_S4</t>
  </si>
  <si>
    <t>RFC</t>
  </si>
  <si>
    <t>Z_NL_S4_MSDContract_To_Kentico</t>
  </si>
  <si>
    <t>CPI Timer
6:00AM CET</t>
  </si>
  <si>
    <t>10/24-Interface should NOT be undeployed, as its related to Price Aggreement Interface.
Alert email will be received on Sat and Sunday
11/7-It should run on Sunday. Monitor the interface</t>
  </si>
  <si>
    <t>Z_NL_SalesForce_ProductDesc_To_Kentico</t>
  </si>
  <si>
    <t>SOAP, HTTP</t>
  </si>
  <si>
    <t xml:space="preserve">CPI Timer
11:30PM CET </t>
  </si>
  <si>
    <t>Z_EU_S4_ListingAndExclusion_To_Webshops</t>
  </si>
  <si>
    <t>NetOrder,
Kentico</t>
  </si>
  <si>
    <t>SFTP,
SOAP</t>
  </si>
  <si>
    <t>Z_EU_S4_MaterialMaster_To_Webshops</t>
  </si>
  <si>
    <t>S4 Program
Monday to Friday
Every Hour from 8:00AM CET to 7:00PM CET</t>
  </si>
  <si>
    <t>Z_EU_S4_PriceConditions_To_Webshop</t>
  </si>
  <si>
    <t>S4 Program
Monday to Friday
Every Hour from 8:20AM CET to 7:20PM CET</t>
  </si>
  <si>
    <t>Z_EU_S4_Customer_To_Webshop</t>
  </si>
  <si>
    <t xml:space="preserve">NetOrder,
Kentico,
MSD,
Ehealth </t>
  </si>
  <si>
    <t xml:space="preserve">SFTP,
SOAP,
SFTP,
Process Direct </t>
  </si>
  <si>
    <t xml:space="preserve">Connected to Multiple iFlows using Process Direct </t>
  </si>
  <si>
    <t>Z_NL_S4_248_Goods Receipt_To_3PL</t>
  </si>
  <si>
    <t>3PL</t>
  </si>
  <si>
    <t xml:space="preserve">SFTP </t>
  </si>
  <si>
    <t>Z_CPI_IDoc_CommonFlow
Z_NL_ZWMMBID02_EXT_252_248_Dispatcher</t>
  </si>
  <si>
    <t>Z_NL_S4_246_Delivery_To_3PL</t>
  </si>
  <si>
    <t>Z_CPI_IDoc_CommonFlow
Z_NL_S4_DESADV_DELVRY07_Dispatcher</t>
  </si>
  <si>
    <t>Z_NL_S4_252_StockAdjustment_To_3PL</t>
  </si>
  <si>
    <t>Z_NL_S4_DESADV_DELVRY07_Dispatcher</t>
  </si>
  <si>
    <t>Z_NL_S4_ZDELVRY07_DESADV_Dispatcher</t>
  </si>
  <si>
    <t>Z_NL_ZWMMBID02_EXT_252_248_Dispatcher</t>
  </si>
  <si>
    <t>Z_NL_S4_Delivery_To_Carrier</t>
  </si>
  <si>
    <t>Carrier</t>
  </si>
  <si>
    <t>S4 Program
Real Time</t>
  </si>
  <si>
    <t>Z_CPI_IDoc_CommonFlow
Z_NL_S4_ZDELVRY07_DESADV_Dispatcher</t>
  </si>
  <si>
    <t>Z_NL_S4_Delivery_To_EPackingSlip</t>
  </si>
  <si>
    <t>EPackingSlip</t>
  </si>
  <si>
    <t>Z_EU_S4_254_ReturnOrderResponse_To_MSD</t>
  </si>
  <si>
    <t>MSD</t>
  </si>
  <si>
    <t>Z_NL_MSD_162_PriceAgreement_To_S4</t>
  </si>
  <si>
    <t>CPI SFTP Poll
Every 15min between 5:00 to 11:00PM CET</t>
  </si>
  <si>
    <t>10/24-Interface should NOT be undeployed. CPI should pick up the file and it will move the file to /archive. The data will not be sent to S4 because it will be down.  Alert email will be received on Sat and Sunday
Latest file process to S4
11/7-Move Sunday's file from Archive to origional folder and let it process on Sunday</t>
  </si>
  <si>
    <t>Z_NL_MSD_245_SalesOrder_To_S4</t>
  </si>
  <si>
    <t xml:space="preserve">CPI SFTP Poll
Every 1min </t>
  </si>
  <si>
    <t>Z_NL_MSD_247_PurchaseOrder_To_S4</t>
  </si>
  <si>
    <t>Z_NL_S4_250_Inventory_To_3PL_MSD_Alfasan</t>
  </si>
  <si>
    <t>MSD,
Alfasan</t>
  </si>
  <si>
    <t>SFTP,
Mail</t>
  </si>
  <si>
    <t>S4 Program
Twice a Day at 3:00AM CET and 11:00 am CET</t>
  </si>
  <si>
    <t>Z_NL_S4_PurchaseOrders_To_Hills</t>
  </si>
  <si>
    <t>CPI</t>
  </si>
  <si>
    <t>Hills</t>
  </si>
  <si>
    <t>Z_BE_Pyramid_ProcessLog_To_Email</t>
  </si>
  <si>
    <t>Pyramid</t>
  </si>
  <si>
    <t>CPI SFTP Poll
Every 1 hour</t>
  </si>
  <si>
    <t>Z_BE_S4_Invoice_To_Pyramid</t>
  </si>
  <si>
    <t>Multiple</t>
  </si>
  <si>
    <t>S4 Program
?</t>
  </si>
  <si>
    <t>Z_EU_S4_FMD_To_Movilitas_Sync</t>
  </si>
  <si>
    <t>Movilitas</t>
  </si>
  <si>
    <t>HTTP</t>
  </si>
  <si>
    <t>Z_NL_Pagero_ASN_To_S4</t>
  </si>
  <si>
    <t>Pagero</t>
  </si>
  <si>
    <t>Z_NL_S4H_Orders_Dispatcher</t>
  </si>
  <si>
    <t>Pagero,
Hills</t>
  </si>
  <si>
    <t>Z_NL_S4_Orders_To_Pagero</t>
  </si>
  <si>
    <t>ZOETIS_S4H_SalesOrder_BE</t>
  </si>
  <si>
    <t>Zoetis</t>
  </si>
  <si>
    <t>CPI SFTP Poll
Every 8 hours from 6:00AM till 24:00 CET</t>
  </si>
  <si>
    <t>Z_NL_S4_To_Vanasoft_PhysicalInventory</t>
  </si>
  <si>
    <t>VanaSoft</t>
  </si>
  <si>
    <t>Z_NL_S4_To_Vanasoft_ProductMaster</t>
  </si>
  <si>
    <t>Z_NL_S4_To_Vanasoft_StockSnapshot</t>
  </si>
  <si>
    <t>Z_NL_S4_To_Vanasoft_WorkOrder</t>
  </si>
  <si>
    <t>Z_NL_Vanasoft_To_S4_InboundCommon</t>
  </si>
  <si>
    <t>Z_NL_Vanasoft_To_S4_WorkOrderConfirmation</t>
  </si>
  <si>
    <t>Z_NL_MasterData_User_SF_To_MSSQL</t>
  </si>
  <si>
    <t>CPI
Run Once</t>
  </si>
  <si>
    <t>Friday</t>
  </si>
  <si>
    <t>Saturday</t>
  </si>
  <si>
    <t>Sunday</t>
  </si>
  <si>
    <t>Basis - Ashish</t>
  </si>
  <si>
    <t>Functional validation</t>
  </si>
  <si>
    <t>Back-up</t>
  </si>
  <si>
    <t>SUM</t>
  </si>
  <si>
    <t>Post-Processing</t>
  </si>
  <si>
    <t>Downtime</t>
  </si>
  <si>
    <t>Backup</t>
  </si>
  <si>
    <t>hrs</t>
  </si>
  <si>
    <t>Post-Process</t>
  </si>
  <si>
    <t>Total</t>
  </si>
  <si>
    <t/>
  </si>
  <si>
    <t>Time Interval</t>
  </si>
  <si>
    <t>03.09.25</t>
  </si>
  <si>
    <t xml:space="preserve">07.11.25 </t>
  </si>
  <si>
    <t>Sr.No</t>
  </si>
  <si>
    <t>Date</t>
  </si>
  <si>
    <t>Time</t>
  </si>
  <si>
    <t>Request</t>
  </si>
  <si>
    <t>Clt</t>
  </si>
  <si>
    <t>Owner</t>
  </si>
  <si>
    <t>TR Imported User</t>
  </si>
  <si>
    <t>Short Text</t>
  </si>
  <si>
    <t>Checked</t>
  </si>
  <si>
    <t>Remarks</t>
  </si>
  <si>
    <t>SE1K900651</t>
  </si>
  <si>
    <t>NL_SARIS</t>
  </si>
  <si>
    <t>SPAU TR - merged</t>
  </si>
  <si>
    <t>New TOC for SPAU</t>
  </si>
  <si>
    <t>06.11.25</t>
  </si>
  <si>
    <t>16:00:43</t>
  </si>
  <si>
    <t>SE1K900650</t>
  </si>
  <si>
    <t>100</t>
  </si>
  <si>
    <t>EX_BAMANEA</t>
  </si>
  <si>
    <t>Security TOC TRs</t>
  </si>
  <si>
    <t>New Security ToC</t>
  </si>
  <si>
    <t>15:42:48</t>
  </si>
  <si>
    <t>SE1K900098</t>
  </si>
  <si>
    <t>TM_CHALAMALS</t>
  </si>
  <si>
    <t>TOC-Basis Note 3029446-[S4 Upgrade]:</t>
  </si>
  <si>
    <t>04.09.25</t>
  </si>
  <si>
    <t>04:17:07</t>
  </si>
  <si>
    <t>D58K900130</t>
  </si>
  <si>
    <t>SSAMALA</t>
  </si>
  <si>
    <t>SP2: invoice solutions_fiori_perspect</t>
  </si>
  <si>
    <t>04:17:08</t>
  </si>
  <si>
    <t>D53K901316</t>
  </si>
  <si>
    <t>RKASIM</t>
  </si>
  <si>
    <t>Invoice Solution : 23.4 SPS2 Perspect</t>
  </si>
  <si>
    <t>04:17:09</t>
  </si>
  <si>
    <t>Q53K900014</t>
  </si>
  <si>
    <t>Post Installation Customizing for 23.</t>
  </si>
  <si>
    <t>04:17:10</t>
  </si>
  <si>
    <t>D53K901328</t>
  </si>
  <si>
    <t>VIM 23.4 SPS2 Invoice Life Cycle card</t>
  </si>
  <si>
    <t>09.09.25</t>
  </si>
  <si>
    <t>13:01:33</t>
  </si>
  <si>
    <t>SE1K900247</t>
  </si>
  <si>
    <t>RO_MARTINC</t>
  </si>
  <si>
    <t>Snote 3574199 delete LVTW01 form LIV0</t>
  </si>
  <si>
    <t>16.09.25</t>
  </si>
  <si>
    <t>08:49:59</t>
  </si>
  <si>
    <t>SE1K900266</t>
  </si>
  <si>
    <t>EX_BALACHANA</t>
  </si>
  <si>
    <t>TOC EWM S4UP-351 Dumpwhen printing HU</t>
  </si>
  <si>
    <t>10:49:18</t>
  </si>
  <si>
    <t>SE1K900267</t>
  </si>
  <si>
    <t>18.09.25</t>
  </si>
  <si>
    <t>12:06:48</t>
  </si>
  <si>
    <t>SE1K900278</t>
  </si>
  <si>
    <t>TOC EWM Retrofit DE1 to SE1</t>
  </si>
  <si>
    <t>19.09.25</t>
  </si>
  <si>
    <t>07:36:53</t>
  </si>
  <si>
    <t>SE1K900276</t>
  </si>
  <si>
    <t>New Migration Objects - MDM</t>
  </si>
  <si>
    <t>13:03:14</t>
  </si>
  <si>
    <t>SE1K900281</t>
  </si>
  <si>
    <t>TOC EWM S4UP-565 Express Document dur</t>
  </si>
  <si>
    <t>14:45:08</t>
  </si>
  <si>
    <t>SE1K900282</t>
  </si>
  <si>
    <t>15:23:08</t>
  </si>
  <si>
    <t>SE1K900284</t>
  </si>
  <si>
    <t>FL_MOUSLIMA</t>
  </si>
  <si>
    <t>22.09.25</t>
  </si>
  <si>
    <t>08:15:48</t>
  </si>
  <si>
    <t>SE1K900289</t>
  </si>
  <si>
    <t>12:19:36</t>
  </si>
  <si>
    <t>TOC : S4UP-495 Open Fiori Application</t>
  </si>
  <si>
    <t>This TR needs to be imported by Vipin</t>
  </si>
  <si>
    <t>17:24:45</t>
  </si>
  <si>
    <t>SE1K900295</t>
  </si>
  <si>
    <t>23.09.25</t>
  </si>
  <si>
    <t>09:59:16</t>
  </si>
  <si>
    <t>SE1K900297</t>
  </si>
  <si>
    <t>TOC EWM S4UP-655 ABAP after filling i</t>
  </si>
  <si>
    <t>10:00:35</t>
  </si>
  <si>
    <t>SE1K900298</t>
  </si>
  <si>
    <t>TOC EWM S4UP-648 TU Creation Program</t>
  </si>
  <si>
    <t>14:03:31</t>
  </si>
  <si>
    <t>SE1K900310</t>
  </si>
  <si>
    <t>TOC EWM S4UP-621 Execute counting via</t>
  </si>
  <si>
    <t>15:21:37</t>
  </si>
  <si>
    <t>SE1K900313</t>
  </si>
  <si>
    <t>TOC EWM S4UP-664 Inbound Delivery Fio</t>
  </si>
  <si>
    <t>15:23:47</t>
  </si>
  <si>
    <t>SE1K900314</t>
  </si>
  <si>
    <t>24.09.25</t>
  </si>
  <si>
    <t>08:11:51</t>
  </si>
  <si>
    <t>SE1K900315</t>
  </si>
  <si>
    <t>NL_MAZILUELE</t>
  </si>
  <si>
    <t>S4H UPG - BUG Fix -﻿ Error GLT2201 -</t>
  </si>
  <si>
    <t>09:38:37</t>
  </si>
  <si>
    <t>SE1K900317</t>
  </si>
  <si>
    <t>OCT EU v_nln mapping correction S4UP-</t>
  </si>
  <si>
    <t>10:53:13</t>
  </si>
  <si>
    <t>SE1K900319</t>
  </si>
  <si>
    <t>OTC EU PRAT fields labels S4UP-985</t>
  </si>
  <si>
    <t>11:58:14</t>
  </si>
  <si>
    <t>SE1K900321</t>
  </si>
  <si>
    <t>TOC EWM S4UP-844 Cursor issue in RFUI</t>
  </si>
  <si>
    <t>Ticket raised to SAP - 1211453/2025
https://me.sap.com/case/002075129400012114532025/overview</t>
  </si>
  <si>
    <t>25.09.25</t>
  </si>
  <si>
    <t>07:00:46</t>
  </si>
  <si>
    <t>SE1K900326</t>
  </si>
  <si>
    <t>10:55:02</t>
  </si>
  <si>
    <t>SE1K900327</t>
  </si>
  <si>
    <t>TOC EWM S4UP-1148 HU dissapears after</t>
  </si>
  <si>
    <t>12:36:49</t>
  </si>
  <si>
    <t>SE1K900330</t>
  </si>
  <si>
    <t>OTC EU skip 007 message in OBA5 S4UP-</t>
  </si>
  <si>
    <t>13:15:32</t>
  </si>
  <si>
    <t>SE1K900334</t>
  </si>
  <si>
    <t>TM_BOBBALAH</t>
  </si>
  <si>
    <t>OTC_S4UP-1147_Data element change in</t>
  </si>
  <si>
    <t>29.09.25</t>
  </si>
  <si>
    <t>14:01:18</t>
  </si>
  <si>
    <t>SE1K900353</t>
  </si>
  <si>
    <t>OTC BE Assign B05 reason to BE01 BE03</t>
  </si>
  <si>
    <t>01.10.25</t>
  </si>
  <si>
    <t>10:26:54</t>
  </si>
  <si>
    <t>SE1K900328</t>
  </si>
  <si>
    <t>RO_COSTEAA</t>
  </si>
  <si>
    <t>R2R - Fiori activation 2 V1</t>
  </si>
  <si>
    <t>10:26:55</t>
  </si>
  <si>
    <t>SE1K900332</t>
  </si>
  <si>
    <t>R2R Fiori activation 2 V1</t>
  </si>
  <si>
    <t>12:39:58</t>
  </si>
  <si>
    <t>SE1K900367</t>
  </si>
  <si>
    <t>OTC EU VBAK-ZZ1_ZANZPK_SDH screen 830</t>
  </si>
  <si>
    <t>02.10.25</t>
  </si>
  <si>
    <t>03:45:13</t>
  </si>
  <si>
    <t>SE1K900371</t>
  </si>
  <si>
    <t>ToC SE1K900366 Short dumps, class ZCL</t>
  </si>
  <si>
    <t>11:39:07</t>
  </si>
  <si>
    <t>SE1K900380</t>
  </si>
  <si>
    <t>OTC - Service Activation ToC - S4UP-1</t>
  </si>
  <si>
    <t>03.10.25</t>
  </si>
  <si>
    <t>08:38:06</t>
  </si>
  <si>
    <t>SE1K900383</t>
  </si>
  <si>
    <t>MDM - S4H Migration Project - S4UP-12</t>
  </si>
  <si>
    <t>11:43:11</t>
  </si>
  <si>
    <t>SE1K900387</t>
  </si>
  <si>
    <t>OTC - Sales document number is cleare</t>
  </si>
  <si>
    <t>11:52:26</t>
  </si>
  <si>
    <t>SE1K900389</t>
  </si>
  <si>
    <t>R2R - Fiori activation 2 V2</t>
  </si>
  <si>
    <t>11:52:28</t>
  </si>
  <si>
    <t>SE1K900372</t>
  </si>
  <si>
    <t>15:33:42</t>
  </si>
  <si>
    <t>SE1K900399</t>
  </si>
  <si>
    <t>TOC EWM S4UP-1264 Picking of short ex</t>
  </si>
  <si>
    <t>15:46:05</t>
  </si>
  <si>
    <t>SE1K900407</t>
  </si>
  <si>
    <t>TOC EWM S4UP-1260 Picking of short ex</t>
  </si>
  <si>
    <t>Ticket raised to SAP - 1178353/2025
https://me.sap.com/case/002075129400011783532025/overview</t>
  </si>
  <si>
    <t>06.10.25</t>
  </si>
  <si>
    <t>09:11:01</t>
  </si>
  <si>
    <t>SE1K900410</t>
  </si>
  <si>
    <t>OTC - BO calculation bug in ATP BAPI</t>
  </si>
  <si>
    <t>10:29:21</t>
  </si>
  <si>
    <t>SE1K900411</t>
  </si>
  <si>
    <t>TOC EWM S4UP-1029 BBD not updated OSS</t>
  </si>
  <si>
    <t>10:43:23</t>
  </si>
  <si>
    <t>SE1K900381</t>
  </si>
  <si>
    <t>RTR- S4UP-1276 - Bug Upgrade Default</t>
  </si>
  <si>
    <t>13:37:54</t>
  </si>
  <si>
    <t>SE1K900420</t>
  </si>
  <si>
    <t>OTC - Rebate Settlements: Amounts do</t>
  </si>
  <si>
    <t>15:28:45</t>
  </si>
  <si>
    <t>SE1K900422</t>
  </si>
  <si>
    <t>R2R - Fiori activation 2 V3</t>
  </si>
  <si>
    <t>07.10.25</t>
  </si>
  <si>
    <t>10:17:36</t>
  </si>
  <si>
    <t>SE1K900426</t>
  </si>
  <si>
    <t>R2R - Fiori activation 2 V4</t>
  </si>
  <si>
    <t>10:17:37</t>
  </si>
  <si>
    <t>SE1K900428</t>
  </si>
  <si>
    <t>11:07:58</t>
  </si>
  <si>
    <t>SE1K900430</t>
  </si>
  <si>
    <t>TOC EWM S4UP-1272 QR code verifi show</t>
  </si>
  <si>
    <t>13:38:16</t>
  </si>
  <si>
    <t>SE1K900431</t>
  </si>
  <si>
    <t>15:09:58</t>
  </si>
  <si>
    <t>SE1K900433</t>
  </si>
  <si>
    <t>08.10.25</t>
  </si>
  <si>
    <t>06:59:32</t>
  </si>
  <si>
    <t>SE1K900436</t>
  </si>
  <si>
    <t>NL_PATILV</t>
  </si>
  <si>
    <t>S4HUP Configurations</t>
  </si>
  <si>
    <t>06:59:33</t>
  </si>
  <si>
    <t>SE1K900369</t>
  </si>
  <si>
    <t>S4UP-1221 - Partner Bank Type</t>
  </si>
  <si>
    <t>12:07:13</t>
  </si>
  <si>
    <t>SE1K900446</t>
  </si>
  <si>
    <t>S4UP-1308 - Index Data Determination</t>
  </si>
  <si>
    <t>12:56:54</t>
  </si>
  <si>
    <t>SE1K900450</t>
  </si>
  <si>
    <t>TOC S4UP-1311 printing in piece pick</t>
  </si>
  <si>
    <t>15:23:10</t>
  </si>
  <si>
    <t>SE1K900453</t>
  </si>
  <si>
    <t>R2R App Currency Exchange Rates (F361</t>
  </si>
  <si>
    <t>15:23:12</t>
  </si>
  <si>
    <t>SE1K900451</t>
  </si>
  <si>
    <t>09.10.25</t>
  </si>
  <si>
    <t>09:16:21</t>
  </si>
  <si>
    <t>SE1K900463</t>
  </si>
  <si>
    <t>EX_SRINIVASB</t>
  </si>
  <si>
    <t>S4UP-1315 SAPNOTE 3612282 - F2358 Mon</t>
  </si>
  <si>
    <t>11:19:08</t>
  </si>
  <si>
    <t>SE1K900465</t>
  </si>
  <si>
    <t>TOC S4UP-1183 Manual WT Creation in I</t>
  </si>
  <si>
    <t>Ticket raised to SAP - 1163990/2025 
https://me.sap.com/case/002075129400011639902025/overview</t>
  </si>
  <si>
    <t>12:41:54</t>
  </si>
  <si>
    <t>SE1K900474</t>
  </si>
  <si>
    <t>EWM EU S4UP-844 RFUI Cursor Issue</t>
  </si>
  <si>
    <t>14:19:41</t>
  </si>
  <si>
    <t>SE1K900479</t>
  </si>
  <si>
    <t>10.10.25</t>
  </si>
  <si>
    <t>10:13:28</t>
  </si>
  <si>
    <t>SE1K900480</t>
  </si>
  <si>
    <t>S4UP-1221 - NPO Configruation</t>
  </si>
  <si>
    <t>13:41:30</t>
  </si>
  <si>
    <t>SE1K900488</t>
  </si>
  <si>
    <t>13.10.25</t>
  </si>
  <si>
    <t>11:49:59</t>
  </si>
  <si>
    <t>SE1K900496</t>
  </si>
  <si>
    <t>OTC EU missing stock alloc date field</t>
  </si>
  <si>
    <t>14:19:06</t>
  </si>
  <si>
    <t>SE1K900493</t>
  </si>
  <si>
    <t>S4UP: PO Configuration</t>
  </si>
  <si>
    <t>14.10.25</t>
  </si>
  <si>
    <t>14:24:02</t>
  </si>
  <si>
    <t>SE1K900500</t>
  </si>
  <si>
    <t>S4UP - PO Configuration II</t>
  </si>
  <si>
    <t>15.10.25</t>
  </si>
  <si>
    <t>14:47:41</t>
  </si>
  <si>
    <t>SE1K900506</t>
  </si>
  <si>
    <t>S4UP-1332 PO BDC Configuration</t>
  </si>
  <si>
    <t>20.10.25</t>
  </si>
  <si>
    <t>13:56:11</t>
  </si>
  <si>
    <t>SE1K900520</t>
  </si>
  <si>
    <t>S4UP-1338 COA Download/Upload</t>
  </si>
  <si>
    <t>13:56:13</t>
  </si>
  <si>
    <t>SE1K900524</t>
  </si>
  <si>
    <t>VIM - /OPT/AR_COA Excel export issue</t>
  </si>
  <si>
    <t>21.10.25</t>
  </si>
  <si>
    <t>10:35:52</t>
  </si>
  <si>
    <t>SE1K900529</t>
  </si>
  <si>
    <t>11:34:18</t>
  </si>
  <si>
    <t>SE1K900536</t>
  </si>
  <si>
    <t>EX_YADAVV</t>
  </si>
  <si>
    <t>22.10.25</t>
  </si>
  <si>
    <t>09:52:23</t>
  </si>
  <si>
    <t>SE1K900532</t>
  </si>
  <si>
    <t>VIM: Vendor material number not popul</t>
  </si>
  <si>
    <t>23.10.25</t>
  </si>
  <si>
    <t>07:48:34</t>
  </si>
  <si>
    <t>SE1K900541</t>
  </si>
  <si>
    <t>10:44:36</t>
  </si>
  <si>
    <t>SE1K900544</t>
  </si>
  <si>
    <t>13:46:20</t>
  </si>
  <si>
    <t>SE1K900489</t>
  </si>
  <si>
    <t>VIM - App Create Annual Sales listing</t>
  </si>
  <si>
    <t>Import these both TR together</t>
  </si>
  <si>
    <t>24.10.25</t>
  </si>
  <si>
    <t>08:28:14</t>
  </si>
  <si>
    <t>SE1K900555</t>
  </si>
  <si>
    <t>14:27:44</t>
  </si>
  <si>
    <t>SE1K900549</t>
  </si>
  <si>
    <t>14:40:04</t>
  </si>
  <si>
    <t>SE1K900550</t>
  </si>
  <si>
    <t>15:11:30</t>
  </si>
  <si>
    <t>SE1K900551</t>
  </si>
  <si>
    <t>08:10:07</t>
  </si>
  <si>
    <t>SE1K900554</t>
  </si>
  <si>
    <t>09:18:48</t>
  </si>
  <si>
    <t>SE1K900512</t>
  </si>
  <si>
    <t>S4UP-1255 - DRC - BE - Annual Sales L</t>
  </si>
  <si>
    <t>09:26:07</t>
  </si>
  <si>
    <t>SE1K900557</t>
  </si>
  <si>
    <t>09:29:40</t>
  </si>
  <si>
    <t>SE1K900558</t>
  </si>
  <si>
    <t>09:34:28</t>
  </si>
  <si>
    <t>SE1K900559</t>
  </si>
  <si>
    <t>11:15:19</t>
  </si>
  <si>
    <t>SE1K900560</t>
  </si>
  <si>
    <t>12:23:10</t>
  </si>
  <si>
    <t>SE1K900562</t>
  </si>
  <si>
    <t>12:45:06</t>
  </si>
  <si>
    <t>SE1K900563</t>
  </si>
  <si>
    <t>12:54:23</t>
  </si>
  <si>
    <t>SE1K900564</t>
  </si>
  <si>
    <t>13:11:34</t>
  </si>
  <si>
    <t>SE1K900565</t>
  </si>
  <si>
    <t>13:50:34</t>
  </si>
  <si>
    <t>SE1K900566</t>
  </si>
  <si>
    <t>14:09:21</t>
  </si>
  <si>
    <t>SE1K900567</t>
  </si>
  <si>
    <t>14:49:42</t>
  </si>
  <si>
    <t>SE1K900568</t>
  </si>
  <si>
    <t>15:06:48</t>
  </si>
  <si>
    <t>SE1K900569</t>
  </si>
  <si>
    <t>25.10.25</t>
  </si>
  <si>
    <t>10:23:30</t>
  </si>
  <si>
    <t>SE1K900572</t>
  </si>
  <si>
    <t>27.10.25</t>
  </si>
  <si>
    <t>08:42:03</t>
  </si>
  <si>
    <t>SE1K900578</t>
  </si>
  <si>
    <t>15:55:07</t>
  </si>
  <si>
    <t>SE1K900504</t>
  </si>
  <si>
    <t>S4UP 1334 - VIM Capture Learning Data</t>
  </si>
  <si>
    <t>28.10.25</t>
  </si>
  <si>
    <t>09:27:33</t>
  </si>
  <si>
    <t>SE1K900579</t>
  </si>
  <si>
    <t>14:31:17</t>
  </si>
  <si>
    <t>SE1K900586</t>
  </si>
  <si>
    <t>31.10.25</t>
  </si>
  <si>
    <t>11:32:35</t>
  </si>
  <si>
    <t>SE1K900391</t>
  </si>
  <si>
    <t>S4UP-1255 - Activation GLO_DRC Functi</t>
  </si>
  <si>
    <t>03.11.25</t>
  </si>
  <si>
    <t>04:47:32</t>
  </si>
  <si>
    <t>SE1K900608</t>
  </si>
  <si>
    <t>S4UP- PO VIM Configurations</t>
  </si>
  <si>
    <t>04.11.25</t>
  </si>
  <si>
    <t>15:18:04</t>
  </si>
  <si>
    <t>SE1K900634</t>
  </si>
  <si>
    <t>10:01:03</t>
  </si>
  <si>
    <t>SE1K900648</t>
  </si>
  <si>
    <t>12:14:23</t>
  </si>
  <si>
    <t>SE1K900652</t>
  </si>
  <si>
    <t>15:49:31</t>
  </si>
  <si>
    <t>SE1K900655</t>
  </si>
  <si>
    <t>07.11.25</t>
  </si>
  <si>
    <t>09:15:19</t>
  </si>
  <si>
    <t>SE1K900660</t>
  </si>
  <si>
    <t>EWM EU NEW ITS SERVICE</t>
  </si>
  <si>
    <t>07.11.26</t>
  </si>
  <si>
    <t>09:15:20</t>
  </si>
  <si>
    <t>SE1K900661</t>
  </si>
  <si>
    <t>SE1K900665 </t>
  </si>
  <si>
    <t>EWM_DE1 TO QE1 via SE1</t>
  </si>
  <si>
    <t>SE1K900666</t>
  </si>
  <si>
    <t>SPAU adjustment</t>
  </si>
  <si>
    <t>SE1K900667        </t>
  </si>
  <si>
    <t>ex_yadavv</t>
  </si>
  <si>
    <t>Secuirty correction TR</t>
  </si>
  <si>
    <t>SE1K900671</t>
  </si>
  <si>
    <t>S4UP: NPO Autoposting Issue</t>
  </si>
  <si>
    <t xml:space="preserve">SE1K900675      </t>
  </si>
  <si>
    <t>EWM EU Post Upgrade Bug Fix</t>
  </si>
  <si>
    <t>SE1K900676</t>
  </si>
  <si>
    <t>ToC DE1K916380  - VIM objects missing in SE1</t>
  </si>
  <si>
    <t xml:space="preserve">SE1K900680 </t>
  </si>
  <si>
    <t>EWM NL Storage Search Seq</t>
  </si>
  <si>
    <t>SE1K900683</t>
  </si>
  <si>
    <t>S4HDR-6916 - Auto Posting for BE Company Code NPO Invoices</t>
  </si>
  <si>
    <t>Created on 10-11-2025</t>
  </si>
  <si>
    <t>SE1K900687 </t>
  </si>
  <si>
    <t>EWM NL S4HDR-6920 No queue Out-MODD for pallet order Modulix</t>
  </si>
  <si>
    <t>SE1K900690</t>
  </si>
  <si>
    <t xml:space="preserve"> TOC /S4HDR-6920 No queue Out-MODD for pallet order Modulix</t>
  </si>
  <si>
    <t xml:space="preserve"> SE1K900691</t>
  </si>
  <si>
    <t>SE1K900688</t>
  </si>
  <si>
    <t>uth:ex_yadavv:6981:Add 01 in M_MSEG_BWE and M_MSEG_WWE</t>
  </si>
  <si>
    <t>SE1K900694</t>
  </si>
  <si>
    <t>auth : ex_yadavv:6922: added f_ukm_sgmt</t>
  </si>
  <si>
    <t>SE1K900696</t>
  </si>
  <si>
    <t>SE1K900692</t>
  </si>
  <si>
    <t>VIM approve invoice fiori S4HDR-6927</t>
  </si>
  <si>
    <t>SE1K900708</t>
  </si>
  <si>
    <t>Syntax error CL_GRAC_FPM_SEARCH_ASSIST=====CP</t>
  </si>
  <si>
    <t xml:space="preserve"> SE1K900714</t>
  </si>
  <si>
    <t>SE1K900702  </t>
  </si>
  <si>
    <t xml:space="preserve"> auth:ex_yadaavv:6926:Activated object F_KNA1_BUK</t>
  </si>
  <si>
    <t>SE1K900706</t>
  </si>
  <si>
    <t>VIM approve invoice fiori S4HDR-6927 +1</t>
  </si>
  <si>
    <t>SE1K900724</t>
  </si>
  <si>
    <t>EX_YADAVV auth:ex_yadavv:6928 update /OTX/PF03_WP</t>
  </si>
  <si>
    <t>SE1K900726</t>
  </si>
  <si>
    <t>SE1K900723</t>
  </si>
  <si>
    <t>P2P Customer Back Order Dashboard</t>
  </si>
  <si>
    <t>SE1K900732</t>
  </si>
  <si>
    <t>END OF ALL UPGRADE TRs</t>
  </si>
  <si>
    <t>LIST of TR to be imported in PE1 post upgrade (after SPAU TR)</t>
  </si>
  <si>
    <t>TR Number</t>
  </si>
  <si>
    <t>Client</t>
  </si>
  <si>
    <t>User</t>
  </si>
  <si>
    <t>Checked?</t>
  </si>
  <si>
    <t>New ToC</t>
  </si>
  <si>
    <t xml:space="preserve"> EX_YADAVV</t>
  </si>
  <si>
    <t>TOC-Basis Note 3029446-[S4</t>
  </si>
  <si>
    <t>SP2: invoice solutions_fior</t>
  </si>
  <si>
    <t>Invoice Solution : 23.4 SPS</t>
  </si>
  <si>
    <t>Post Installation Customizi</t>
  </si>
  <si>
    <t>VIM 23.4 SPS2 Invoice Life</t>
  </si>
  <si>
    <t>Snote 3574199 delete LVTW01</t>
  </si>
  <si>
    <t>TOC EWM S4UP-351 Dumpwhen p</t>
  </si>
  <si>
    <t>TOC EWM S4UP-565 Express Do</t>
  </si>
  <si>
    <t>TOC : S4UP-495 Open Fiori A</t>
  </si>
  <si>
    <t>TOC EWM S4UP-655 ABAP after</t>
  </si>
  <si>
    <t>TOC EWM S4UP-648 TU Creatio</t>
  </si>
  <si>
    <t>TOC EWM S4UP-621 Execute co</t>
  </si>
  <si>
    <t>TOC EWM S4UP-664 Inbound De</t>
  </si>
  <si>
    <t>S4H UPG - BUG Fix -﻿ Error</t>
  </si>
  <si>
    <t>OCT EU v_nln mapping correc</t>
  </si>
  <si>
    <t>OTC EU PRAT fields labels S</t>
  </si>
  <si>
    <t>TOC EWM S4UP-844 Cursor iss</t>
  </si>
  <si>
    <t>TOC EWM S4UP-1148 HU dissap</t>
  </si>
  <si>
    <t>OTC EU skip 007 message in</t>
  </si>
  <si>
    <t>OTC_S4UP-1147_Data element</t>
  </si>
  <si>
    <t>OTC BE Assign B05 reason to</t>
  </si>
  <si>
    <t>OTC EU VBAK-ZZ1_ZANZPK_SDH</t>
  </si>
  <si>
    <t>ToC SE1K900366 Short dumps,</t>
  </si>
  <si>
    <t>OTC - Service Activation To</t>
  </si>
  <si>
    <t>MDM - S4H Migration Project</t>
  </si>
  <si>
    <t>OTC - Sales document number</t>
  </si>
  <si>
    <t>TOC EWM S4UP-1264 Picking o</t>
  </si>
  <si>
    <t>TOC EWM S4UP-1260 Picking o</t>
  </si>
  <si>
    <t>OTC - BO calculation bug in</t>
  </si>
  <si>
    <t>TOC EWM S4UP-1029 BBD not u</t>
  </si>
  <si>
    <t>RTR- S4UP-1276 - Bug Upgrad</t>
  </si>
  <si>
    <t>OTC - Rebate Settlements: A</t>
  </si>
  <si>
    <t>TOC EWM S4UP-1272 QR code v</t>
  </si>
  <si>
    <t>S4UP-1221 - Partner Bank Ty</t>
  </si>
  <si>
    <t>S4UP-1308 - Index Data Dete</t>
  </si>
  <si>
    <t>TOC S4UP-1311 printing in p</t>
  </si>
  <si>
    <t>R2R App Currency Exchange R</t>
  </si>
  <si>
    <t>S4UP-1315 SAPNOTE 3612282 -</t>
  </si>
  <si>
    <t>OK</t>
  </si>
  <si>
    <t>TOC S4UP-1183 Manual WT Cre</t>
  </si>
  <si>
    <t>EWM EU S4UP-844 RFUI Cursor</t>
  </si>
  <si>
    <t>S4UP-1221 - NPO Configruati</t>
  </si>
  <si>
    <t>OTC EU missing stock alloc</t>
  </si>
  <si>
    <t>S4UP-1332 PO BDC Configurat</t>
  </si>
  <si>
    <t xml:space="preserve"> SE1K900520</t>
  </si>
  <si>
    <t xml:space="preserve"> SE1K900524</t>
  </si>
  <si>
    <t>VIM - /OPT/AR_COA Excel export issue S4UP-1338</t>
  </si>
  <si>
    <t>EWM EU S4UP-844 RFUI Cursor Issu</t>
  </si>
  <si>
    <t xml:space="preserve">SE1K900532  </t>
  </si>
  <si>
    <t xml:space="preserve"> VIM: Vendor material number not populated on items S4UP-1333</t>
  </si>
  <si>
    <t xml:space="preserve"> EWM EU S4UP-844 RFUI Cursor Issue</t>
  </si>
  <si>
    <t xml:space="preserve"> SE1K900544</t>
  </si>
  <si>
    <t>VIM - App Create Annual Sales listing Belgium S4UP-1255</t>
  </si>
  <si>
    <t>VIM - App Create Annual Sales listing Belgium S4UP-1255+</t>
  </si>
  <si>
    <t>S4UP-1255 - DRC - BE - Annual Sales Listing Report</t>
  </si>
  <si>
    <t>SE1K900602</t>
  </si>
  <si>
    <t xml:space="preserve">EX_BAMANEA     </t>
  </si>
  <si>
    <t>SE1K900647</t>
  </si>
  <si>
    <t xml:space="preserve"> S4UP-1255 - Activation GLO_DRC Functi</t>
  </si>
  <si>
    <t>Incorrect TR No. SE1K900647 does not exist. Correct one SE1K900391 at Row 87</t>
  </si>
  <si>
    <t xml:space="preserve"> S4UP- PO VIM Configurations</t>
  </si>
  <si>
    <t xml:space="preserve">SPAU PE1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</si>
</sst>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6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Aptos Narrow"/>
      <family val="2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92A2E"/>
      <name val="Atlassian Sans"/>
      <charset val="1"/>
    </font>
    <font>
      <b/>
      <sz val="12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2" fillId="0" borderId="0"/>
    <xf numFmtId="0" fontId="16" fillId="0" borderId="0"/>
  </cellStyleXfs>
  <cellXfs count="131">
    <xf numFmtId="0" fontId="0" fillId="0" borderId="0" xfId="0"/>
    <xf numFmtId="0" fontId="1" fillId="0" borderId="0" xfId="0" applyFont="1"/>
    <xf numFmtId="18" fontId="1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2" fillId="7" borderId="0" xfId="0" applyFont="1" applyFill="1"/>
    <xf numFmtId="0" fontId="2" fillId="8" borderId="0" xfId="0" applyFont="1" applyFill="1"/>
    <xf numFmtId="0" fontId="4" fillId="7" borderId="0" xfId="0" applyFont="1" applyFill="1"/>
    <xf numFmtId="0" fontId="4" fillId="8" borderId="0" xfId="0" applyFont="1" applyFill="1"/>
    <xf numFmtId="0" fontId="5" fillId="0" borderId="0" xfId="0" applyFont="1"/>
    <xf numFmtId="9" fontId="0" fillId="0" borderId="0" xfId="0" applyNumberFormat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20" fontId="7" fillId="0" borderId="1" xfId="0" applyNumberFormat="1" applyFont="1" applyBorder="1" applyAlignment="1">
      <alignment horizontal="center" vertical="center"/>
    </xf>
    <xf numFmtId="20" fontId="0" fillId="0" borderId="0" xfId="0" applyNumberFormat="1"/>
    <xf numFmtId="9" fontId="5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20" fontId="5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top"/>
    </xf>
    <xf numFmtId="0" fontId="0" fillId="0" borderId="2" xfId="0" applyBorder="1"/>
    <xf numFmtId="0" fontId="13" fillId="0" borderId="0" xfId="0" applyFont="1"/>
    <xf numFmtId="0" fontId="9" fillId="10" borderId="0" xfId="0" applyFont="1" applyFill="1"/>
    <xf numFmtId="0" fontId="9" fillId="10" borderId="0" xfId="0" applyFont="1" applyFill="1" applyAlignment="1">
      <alignment wrapText="1"/>
    </xf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/>
    <xf numFmtId="0" fontId="11" fillId="9" borderId="2" xfId="0" applyFont="1" applyFill="1" applyBorder="1" applyAlignment="1">
      <alignment horizontal="center" vertical="top"/>
    </xf>
    <xf numFmtId="9" fontId="5" fillId="0" borderId="0" xfId="0" applyNumberFormat="1" applyFont="1"/>
    <xf numFmtId="9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20" fontId="0" fillId="2" borderId="0" xfId="0" applyNumberFormat="1" applyFill="1"/>
    <xf numFmtId="0" fontId="11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7" fillId="0" borderId="0" xfId="0" applyFont="1"/>
    <xf numFmtId="0" fontId="0" fillId="0" borderId="7" xfId="0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11" fillId="0" borderId="2" xfId="0" applyFont="1" applyBorder="1" applyAlignment="1">
      <alignment wrapText="1"/>
    </xf>
    <xf numFmtId="0" fontId="0" fillId="12" borderId="0" xfId="0" applyFill="1"/>
    <xf numFmtId="0" fontId="0" fillId="0" borderId="0" xfId="0" applyAlignment="1">
      <alignment horizontal="left" indent="1"/>
    </xf>
    <xf numFmtId="0" fontId="19" fillId="0" borderId="0" xfId="0" applyFont="1"/>
    <xf numFmtId="20" fontId="20" fillId="0" borderId="0" xfId="0" applyNumberFormat="1" applyFont="1"/>
    <xf numFmtId="0" fontId="11" fillId="0" borderId="2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1" fillId="0" borderId="2" xfId="0" applyFont="1" applyBorder="1" applyAlignment="1">
      <alignment vertical="top"/>
    </xf>
    <xf numFmtId="0" fontId="18" fillId="13" borderId="0" xfId="0" applyFont="1" applyFill="1"/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vertical="top"/>
    </xf>
    <xf numFmtId="0" fontId="9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left" vertical="top"/>
    </xf>
    <xf numFmtId="0" fontId="11" fillId="9" borderId="2" xfId="0" applyFont="1" applyFill="1" applyBorder="1" applyAlignment="1">
      <alignment horizontal="left" vertical="top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0" fillId="2" borderId="2" xfId="0" applyFill="1" applyBorder="1"/>
    <xf numFmtId="0" fontId="10" fillId="11" borderId="2" xfId="0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 vertical="top"/>
    </xf>
    <xf numFmtId="0" fontId="11" fillId="11" borderId="2" xfId="0" applyFont="1" applyFill="1" applyBorder="1" applyAlignment="1">
      <alignment horizontal="left" vertical="top"/>
    </xf>
    <xf numFmtId="0" fontId="0" fillId="11" borderId="2" xfId="0" applyFill="1" applyBorder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3" fillId="14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16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9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11" fillId="0" borderId="8" xfId="0" applyFont="1" applyBorder="1" applyAlignment="1">
      <alignment horizontal="center" vertical="center"/>
    </xf>
    <xf numFmtId="0" fontId="24" fillId="0" borderId="0" xfId="0" applyFont="1"/>
    <xf numFmtId="0" fontId="24" fillId="0" borderId="8" xfId="0" applyFont="1" applyBorder="1" applyAlignment="1">
      <alignment horizontal="center"/>
    </xf>
    <xf numFmtId="0" fontId="23" fillId="18" borderId="0" xfId="0" applyFont="1" applyFill="1" applyAlignment="1">
      <alignment vertical="top"/>
    </xf>
    <xf numFmtId="0" fontId="11" fillId="16" borderId="2" xfId="0" applyFont="1" applyFill="1" applyBorder="1" applyAlignment="1">
      <alignment horizontal="center" vertical="top"/>
    </xf>
    <xf numFmtId="0" fontId="14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8" xfId="0" applyFont="1" applyBorder="1"/>
    <xf numFmtId="0" fontId="9" fillId="15" borderId="2" xfId="0" applyFont="1" applyFill="1" applyBorder="1" applyAlignment="1">
      <alignment horizontal="center" vertical="top"/>
    </xf>
    <xf numFmtId="0" fontId="8" fillId="15" borderId="2" xfId="0" applyFont="1" applyFill="1" applyBorder="1" applyAlignment="1">
      <alignment horizontal="center" vertical="top"/>
    </xf>
    <xf numFmtId="0" fontId="8" fillId="15" borderId="2" xfId="0" applyFont="1" applyFill="1" applyBorder="1" applyAlignment="1">
      <alignment horizontal="left" vertical="top"/>
    </xf>
    <xf numFmtId="0" fontId="10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top" wrapText="1"/>
    </xf>
    <xf numFmtId="0" fontId="11" fillId="17" borderId="2" xfId="0" applyFont="1" applyFill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0" fontId="11" fillId="16" borderId="6" xfId="0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top"/>
    </xf>
    <xf numFmtId="0" fontId="25" fillId="18" borderId="0" xfId="0" applyFont="1" applyFill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11" fillId="9" borderId="2" xfId="0" applyFont="1" applyFill="1" applyBorder="1" applyAlignment="1">
      <alignment horizontal="center" vertical="top"/>
    </xf>
  </cellXfs>
  <cellStyles count="3">
    <cellStyle name="Normal" xfId="0" builtinId="0"/>
    <cellStyle name="Normal 2" xfId="1" xr:uid="{69B385BF-5A92-4320-BB04-D873675ACEEB}"/>
    <cellStyle name="Normal 3 2" xfId="2" xr:uid="{915E8EC2-A53A-4206-90B9-1B1117A7E6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103912</xdr:colOff>
      <xdr:row>13</xdr:row>
      <xdr:rowOff>60259</xdr:rowOff>
    </xdr:from>
    <xdr:to>
      <xdr:col>19</xdr:col>
      <xdr:colOff>3119</xdr:colOff>
      <xdr:row>25</xdr:row>
      <xdr:rowOff>141200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22130CE-0549-1458-FA7E-00F0D5FF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821" y="2652214"/>
          <a:ext cx="8342167" cy="2382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E60D-EB1D-4614-934B-FBD700FFA03D}">
  <sheetPr>
    <pageSetUpPr fitToPage="1"/>
  </sheetPr>
  <dimension ref="A1:O269"/>
  <sheetViews>
    <sheetView tabSelected="1" zoomScaleNormal="100" workbookViewId="0">
      <pane ySplit="1" topLeftCell="A117" activePane="bottomLeft" state="frozen"/>
      <selection pane="bottomLeft" activeCell="A224" sqref="A224"/>
    </sheetView>
  </sheetViews>
  <sheetFormatPr defaultRowHeight="14.45"/>
  <cols>
    <col min="1" max="1" width="11.85546875" bestFit="1" customWidth="1"/>
    <col min="2" max="2" width="9.42578125" style="29" customWidth="1"/>
    <col min="3" max="3" width="87" customWidth="1"/>
    <col min="4" max="4" width="17.85546875" customWidth="1"/>
    <col min="5" max="5" width="15.140625" customWidth="1"/>
    <col min="6" max="6" width="13.5703125" style="17" customWidth="1"/>
    <col min="7" max="7" width="10.140625" style="19" bestFit="1" customWidth="1"/>
    <col min="8" max="8" width="8.140625" style="19" bestFit="1" customWidth="1"/>
    <col min="9" max="9" width="10.85546875" bestFit="1" customWidth="1"/>
    <col min="10" max="10" width="23.85546875" customWidth="1"/>
    <col min="11" max="15" width="5.28515625" customWidth="1"/>
    <col min="16" max="16" width="4.42578125" customWidth="1"/>
  </cols>
  <sheetData>
    <row r="1" spans="1:14" s="15" customFormat="1" ht="13.5" thickBot="1">
      <c r="A1" s="15" t="s">
        <v>0</v>
      </c>
      <c r="B1" s="26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8" t="s">
        <v>6</v>
      </c>
      <c r="H1" s="18" t="s">
        <v>7</v>
      </c>
      <c r="I1" s="15" t="s">
        <v>8</v>
      </c>
    </row>
    <row r="2" spans="1:14" s="25" customFormat="1" ht="15.95">
      <c r="A2" s="20">
        <f>AVERAGE(A3,A7,A10)</f>
        <v>1</v>
      </c>
      <c r="B2" s="27">
        <v>1</v>
      </c>
      <c r="C2" s="21" t="s">
        <v>9</v>
      </c>
      <c r="D2" s="22"/>
      <c r="E2" s="22"/>
      <c r="F2" s="23"/>
      <c r="G2" s="24"/>
      <c r="H2" s="24"/>
      <c r="I2" s="22"/>
    </row>
    <row r="3" spans="1:14">
      <c r="A3" s="14">
        <f>AVERAGE(A4:A6)</f>
        <v>1</v>
      </c>
      <c r="B3" s="28">
        <v>1.1000000000000001</v>
      </c>
      <c r="C3" s="13" t="s">
        <v>10</v>
      </c>
    </row>
    <row r="4" spans="1:14">
      <c r="A4" s="14">
        <v>1</v>
      </c>
      <c r="B4" s="29" t="s">
        <v>11</v>
      </c>
      <c r="C4" t="s">
        <v>12</v>
      </c>
      <c r="E4" t="s">
        <v>13</v>
      </c>
      <c r="F4" s="17">
        <v>45947</v>
      </c>
      <c r="G4" s="19">
        <v>0.375</v>
      </c>
      <c r="H4" s="19">
        <v>0.70833333333333337</v>
      </c>
      <c r="I4" s="19">
        <f>H4-G4</f>
        <v>0.33333333333333337</v>
      </c>
    </row>
    <row r="5" spans="1:14">
      <c r="A5" s="14">
        <v>1</v>
      </c>
      <c r="B5" s="29" t="s">
        <v>14</v>
      </c>
      <c r="C5" t="s">
        <v>15</v>
      </c>
      <c r="E5" t="s">
        <v>13</v>
      </c>
      <c r="F5" s="17">
        <v>45953</v>
      </c>
      <c r="G5" s="19">
        <v>0.625</v>
      </c>
      <c r="H5" s="19">
        <v>0.64583333333333337</v>
      </c>
      <c r="I5" s="19">
        <f>H5-G5</f>
        <v>2.083333333333337E-2</v>
      </c>
    </row>
    <row r="6" spans="1:14">
      <c r="A6" s="14">
        <v>1</v>
      </c>
      <c r="B6" s="29" t="s">
        <v>16</v>
      </c>
      <c r="C6" t="s">
        <v>17</v>
      </c>
      <c r="E6" t="s">
        <v>18</v>
      </c>
      <c r="I6" s="19"/>
    </row>
    <row r="7" spans="1:14">
      <c r="A7" s="45">
        <f>AVERAGE(A8:A9)</f>
        <v>1</v>
      </c>
      <c r="B7" s="28">
        <v>1.2</v>
      </c>
      <c r="C7" s="13" t="s">
        <v>19</v>
      </c>
      <c r="I7" s="19"/>
    </row>
    <row r="8" spans="1:14">
      <c r="A8" s="14">
        <v>1</v>
      </c>
      <c r="B8" s="29" t="s">
        <v>20</v>
      </c>
      <c r="C8" t="s">
        <v>21</v>
      </c>
      <c r="E8" t="s">
        <v>22</v>
      </c>
      <c r="F8" s="17">
        <v>45953</v>
      </c>
      <c r="G8" s="19">
        <v>0</v>
      </c>
      <c r="H8" s="19">
        <v>0</v>
      </c>
      <c r="I8" s="19">
        <f>H8-G8</f>
        <v>0</v>
      </c>
    </row>
    <row r="9" spans="1:14">
      <c r="A9" s="14">
        <v>1</v>
      </c>
      <c r="B9" s="29" t="s">
        <v>23</v>
      </c>
      <c r="C9" t="s">
        <v>24</v>
      </c>
      <c r="E9" t="s">
        <v>25</v>
      </c>
      <c r="F9" s="17">
        <v>45953</v>
      </c>
      <c r="G9" s="19">
        <v>0</v>
      </c>
      <c r="H9" s="19">
        <v>0</v>
      </c>
      <c r="I9" s="19">
        <f>H9-G9</f>
        <v>0</v>
      </c>
    </row>
    <row r="10" spans="1:14">
      <c r="A10" s="45">
        <f>AVERAGE(A11:A14)</f>
        <v>1</v>
      </c>
      <c r="B10" s="28">
        <v>1.3</v>
      </c>
      <c r="C10" s="13" t="s">
        <v>26</v>
      </c>
      <c r="I10" s="19"/>
    </row>
    <row r="11" spans="1:14">
      <c r="A11" s="46">
        <v>1</v>
      </c>
      <c r="B11" s="29" t="s">
        <v>27</v>
      </c>
      <c r="C11" t="s">
        <v>28</v>
      </c>
      <c r="E11" t="s">
        <v>29</v>
      </c>
      <c r="F11" s="17">
        <v>45953</v>
      </c>
      <c r="G11" s="19">
        <v>0</v>
      </c>
      <c r="H11" s="19">
        <v>0</v>
      </c>
      <c r="I11" s="19">
        <f>H11-G11</f>
        <v>0</v>
      </c>
      <c r="J11" t="s">
        <v>30</v>
      </c>
      <c r="K11" t="s">
        <v>31</v>
      </c>
      <c r="L11" t="s">
        <v>32</v>
      </c>
      <c r="M11" t="s">
        <v>33</v>
      </c>
      <c r="N11" t="s">
        <v>34</v>
      </c>
    </row>
    <row r="12" spans="1:14">
      <c r="A12" s="14">
        <v>1</v>
      </c>
      <c r="B12" s="29" t="s">
        <v>35</v>
      </c>
      <c r="C12" t="s">
        <v>36</v>
      </c>
      <c r="E12" t="s">
        <v>37</v>
      </c>
      <c r="F12" s="17">
        <v>45953</v>
      </c>
      <c r="G12" s="19">
        <v>0</v>
      </c>
      <c r="H12" s="19">
        <v>0</v>
      </c>
      <c r="I12" s="19">
        <f>H12-G12</f>
        <v>0</v>
      </c>
    </row>
    <row r="13" spans="1:14">
      <c r="A13" s="14">
        <v>1</v>
      </c>
      <c r="B13" s="29" t="s">
        <v>38</v>
      </c>
      <c r="C13" t="s">
        <v>39</v>
      </c>
      <c r="E13" t="s">
        <v>40</v>
      </c>
      <c r="F13" s="17">
        <v>45953</v>
      </c>
      <c r="G13" s="19">
        <v>0</v>
      </c>
      <c r="H13" s="19">
        <v>0</v>
      </c>
      <c r="I13" s="19">
        <f>H13-G13</f>
        <v>0</v>
      </c>
      <c r="J13" t="s">
        <v>41</v>
      </c>
    </row>
    <row r="14" spans="1:14">
      <c r="A14" s="46">
        <v>1</v>
      </c>
      <c r="B14" s="29" t="s">
        <v>42</v>
      </c>
      <c r="C14" t="s">
        <v>43</v>
      </c>
      <c r="E14" t="s">
        <v>44</v>
      </c>
      <c r="F14" s="17">
        <v>45966</v>
      </c>
      <c r="I14" s="19"/>
      <c r="J14" t="s">
        <v>30</v>
      </c>
      <c r="K14" s="58" t="s">
        <v>31</v>
      </c>
      <c r="L14" s="58" t="s">
        <v>32</v>
      </c>
      <c r="M14" s="58" t="s">
        <v>33</v>
      </c>
      <c r="N14" s="58" t="s">
        <v>34</v>
      </c>
    </row>
    <row r="15" spans="1:14" s="25" customFormat="1" ht="15.95">
      <c r="A15" s="20">
        <f>AVERAGE(A16,A17,A21,A34,A35)</f>
        <v>1</v>
      </c>
      <c r="B15" s="27">
        <v>2</v>
      </c>
      <c r="C15" s="21" t="s">
        <v>45</v>
      </c>
      <c r="D15" s="22"/>
      <c r="E15" s="22"/>
      <c r="F15" s="23"/>
      <c r="G15" s="24"/>
      <c r="H15" s="24"/>
      <c r="I15" s="24"/>
    </row>
    <row r="16" spans="1:14">
      <c r="A16" s="14">
        <v>1</v>
      </c>
      <c r="B16" s="28">
        <v>2.1</v>
      </c>
      <c r="C16" s="13" t="s">
        <v>46</v>
      </c>
      <c r="E16" t="s">
        <v>47</v>
      </c>
      <c r="F16" s="17">
        <v>45954</v>
      </c>
      <c r="G16" s="19">
        <v>0.47916666666666669</v>
      </c>
      <c r="H16" s="19">
        <v>0.52083333333333337</v>
      </c>
      <c r="I16" s="19">
        <f>H16-G16</f>
        <v>4.1666666666666685E-2</v>
      </c>
    </row>
    <row r="17" spans="1:14">
      <c r="A17" s="14">
        <f>AVERAGE(A18:A20)</f>
        <v>1</v>
      </c>
      <c r="B17" s="28">
        <v>2.2000000000000002</v>
      </c>
      <c r="C17" s="13" t="s">
        <v>26</v>
      </c>
      <c r="I17" s="19"/>
    </row>
    <row r="18" spans="1:14">
      <c r="A18" s="14">
        <v>1</v>
      </c>
      <c r="B18" s="29" t="s">
        <v>48</v>
      </c>
      <c r="C18" t="s">
        <v>49</v>
      </c>
      <c r="E18" t="s">
        <v>50</v>
      </c>
      <c r="F18" s="17">
        <v>45954</v>
      </c>
      <c r="G18" s="19">
        <v>0.52083333333333337</v>
      </c>
      <c r="H18" s="19">
        <v>0.54166666666666663</v>
      </c>
      <c r="I18" s="19">
        <f t="shared" ref="I18:I35" si="0">H18-G18</f>
        <v>2.0833333333333259E-2</v>
      </c>
      <c r="K18" t="s">
        <v>51</v>
      </c>
      <c r="M18" t="s">
        <v>52</v>
      </c>
    </row>
    <row r="19" spans="1:14">
      <c r="A19" s="46">
        <v>1</v>
      </c>
      <c r="B19" s="29" t="s">
        <v>53</v>
      </c>
      <c r="C19" t="s">
        <v>54</v>
      </c>
      <c r="E19" t="s">
        <v>44</v>
      </c>
      <c r="F19" s="17">
        <v>45954</v>
      </c>
      <c r="G19" s="19">
        <v>0.52083333333333337</v>
      </c>
      <c r="H19" s="19">
        <v>0.70833333333333337</v>
      </c>
      <c r="I19" s="19">
        <f t="shared" si="0"/>
        <v>0.1875</v>
      </c>
      <c r="J19" t="s">
        <v>30</v>
      </c>
      <c r="K19" t="s">
        <v>31</v>
      </c>
      <c r="L19" s="58" t="s">
        <v>32</v>
      </c>
      <c r="M19" t="s">
        <v>33</v>
      </c>
      <c r="N19" s="58" t="s">
        <v>34</v>
      </c>
    </row>
    <row r="20" spans="1:14">
      <c r="A20" s="14">
        <v>1</v>
      </c>
      <c r="B20" s="29" t="s">
        <v>55</v>
      </c>
      <c r="C20" t="s">
        <v>56</v>
      </c>
      <c r="E20" t="s">
        <v>37</v>
      </c>
      <c r="F20" s="17">
        <v>45954</v>
      </c>
      <c r="G20" s="19">
        <v>0.52083333333333337</v>
      </c>
      <c r="H20" s="19">
        <v>0.70833333333333337</v>
      </c>
      <c r="I20" s="19">
        <f t="shared" si="0"/>
        <v>0.1875</v>
      </c>
    </row>
    <row r="21" spans="1:14">
      <c r="A21" s="14">
        <f>AVERAGE(A22:A33)</f>
        <v>1</v>
      </c>
      <c r="B21" s="28">
        <v>2.2999999999999998</v>
      </c>
      <c r="C21" s="13" t="s">
        <v>57</v>
      </c>
      <c r="I21" s="19">
        <f t="shared" si="0"/>
        <v>0</v>
      </c>
    </row>
    <row r="22" spans="1:14">
      <c r="A22" s="14">
        <v>1</v>
      </c>
      <c r="B22" s="29" t="s">
        <v>58</v>
      </c>
      <c r="C22" t="s">
        <v>59</v>
      </c>
      <c r="E22" t="s">
        <v>50</v>
      </c>
      <c r="F22" s="17">
        <v>45964</v>
      </c>
      <c r="G22" s="19">
        <v>0</v>
      </c>
      <c r="H22" s="19">
        <v>0</v>
      </c>
      <c r="I22" s="19">
        <f t="shared" si="0"/>
        <v>0</v>
      </c>
    </row>
    <row r="23" spans="1:14">
      <c r="A23" s="14">
        <v>1</v>
      </c>
      <c r="B23" s="29" t="s">
        <v>60</v>
      </c>
      <c r="C23" t="s">
        <v>61</v>
      </c>
      <c r="E23" t="s">
        <v>50</v>
      </c>
      <c r="F23" s="17">
        <v>45964</v>
      </c>
      <c r="G23" s="19">
        <v>0</v>
      </c>
      <c r="H23" s="19">
        <v>0</v>
      </c>
      <c r="I23" s="19">
        <f t="shared" si="0"/>
        <v>0</v>
      </c>
    </row>
    <row r="24" spans="1:14">
      <c r="A24" s="14">
        <v>1</v>
      </c>
      <c r="B24" s="29" t="s">
        <v>62</v>
      </c>
      <c r="C24" t="s">
        <v>63</v>
      </c>
      <c r="E24" t="s">
        <v>50</v>
      </c>
      <c r="F24" s="17">
        <v>45964</v>
      </c>
      <c r="G24" s="19">
        <v>0</v>
      </c>
      <c r="H24" s="19">
        <v>0</v>
      </c>
      <c r="I24" s="19">
        <f t="shared" si="0"/>
        <v>0</v>
      </c>
    </row>
    <row r="25" spans="1:14" ht="21" customHeight="1">
      <c r="A25" s="14">
        <v>1</v>
      </c>
      <c r="B25" s="29" t="s">
        <v>64</v>
      </c>
      <c r="C25" s="30" t="s">
        <v>65</v>
      </c>
      <c r="E25" t="s">
        <v>13</v>
      </c>
      <c r="F25" s="17">
        <v>45964</v>
      </c>
      <c r="G25" s="19">
        <v>0</v>
      </c>
      <c r="H25" s="19">
        <v>0</v>
      </c>
      <c r="I25" s="19">
        <f t="shared" si="0"/>
        <v>0</v>
      </c>
    </row>
    <row r="26" spans="1:14">
      <c r="A26" s="14">
        <v>1</v>
      </c>
      <c r="B26" s="29" t="s">
        <v>66</v>
      </c>
      <c r="C26" t="s">
        <v>67</v>
      </c>
      <c r="E26" t="s">
        <v>50</v>
      </c>
      <c r="F26" s="17">
        <v>45964</v>
      </c>
      <c r="G26" s="19">
        <v>0</v>
      </c>
      <c r="H26" s="19">
        <v>0</v>
      </c>
      <c r="I26" s="19">
        <f t="shared" si="0"/>
        <v>0</v>
      </c>
    </row>
    <row r="27" spans="1:14">
      <c r="A27" s="14">
        <v>1</v>
      </c>
      <c r="B27" s="29" t="s">
        <v>68</v>
      </c>
      <c r="C27" t="s">
        <v>69</v>
      </c>
      <c r="E27" t="s">
        <v>50</v>
      </c>
      <c r="F27" s="17">
        <v>45964</v>
      </c>
      <c r="G27" s="19">
        <v>0</v>
      </c>
      <c r="H27" s="19">
        <v>0</v>
      </c>
      <c r="I27" s="19">
        <f t="shared" si="0"/>
        <v>0</v>
      </c>
    </row>
    <row r="28" spans="1:14">
      <c r="A28" s="14">
        <v>1</v>
      </c>
      <c r="B28" s="29" t="s">
        <v>70</v>
      </c>
      <c r="C28" t="s">
        <v>71</v>
      </c>
      <c r="E28" t="s">
        <v>50</v>
      </c>
      <c r="F28" s="17">
        <v>45964</v>
      </c>
      <c r="G28" s="19">
        <v>0</v>
      </c>
      <c r="H28" s="19">
        <v>0</v>
      </c>
      <c r="I28" s="19">
        <f t="shared" si="0"/>
        <v>0</v>
      </c>
    </row>
    <row r="29" spans="1:14">
      <c r="A29" s="14">
        <v>1</v>
      </c>
      <c r="B29" s="29" t="s">
        <v>72</v>
      </c>
      <c r="C29" t="s">
        <v>73</v>
      </c>
      <c r="E29" t="s">
        <v>50</v>
      </c>
      <c r="F29" s="17">
        <v>45964</v>
      </c>
      <c r="G29" s="19">
        <v>0</v>
      </c>
      <c r="H29" s="19">
        <v>0</v>
      </c>
      <c r="I29" s="19">
        <f t="shared" si="0"/>
        <v>0</v>
      </c>
    </row>
    <row r="30" spans="1:14">
      <c r="A30" s="14">
        <v>1</v>
      </c>
      <c r="B30" s="29" t="s">
        <v>74</v>
      </c>
      <c r="C30" t="s">
        <v>75</v>
      </c>
      <c r="E30" t="s">
        <v>50</v>
      </c>
      <c r="F30" s="17">
        <v>45964</v>
      </c>
      <c r="G30" s="19">
        <v>0</v>
      </c>
      <c r="H30" s="19">
        <v>0</v>
      </c>
      <c r="I30" s="19">
        <f t="shared" si="0"/>
        <v>0</v>
      </c>
    </row>
    <row r="31" spans="1:14">
      <c r="A31" s="14">
        <v>1</v>
      </c>
      <c r="B31" s="29" t="s">
        <v>76</v>
      </c>
      <c r="C31" t="s">
        <v>77</v>
      </c>
      <c r="E31" t="s">
        <v>50</v>
      </c>
      <c r="F31" s="17">
        <v>45964</v>
      </c>
      <c r="G31" s="19">
        <v>0</v>
      </c>
      <c r="H31" s="19">
        <v>0</v>
      </c>
      <c r="I31" s="19">
        <f t="shared" si="0"/>
        <v>0</v>
      </c>
    </row>
    <row r="32" spans="1:14">
      <c r="A32" s="14">
        <v>1</v>
      </c>
      <c r="B32" s="29" t="s">
        <v>78</v>
      </c>
      <c r="C32" t="s">
        <v>79</v>
      </c>
      <c r="E32" t="s">
        <v>50</v>
      </c>
      <c r="F32" s="17">
        <v>45964</v>
      </c>
      <c r="G32" s="19">
        <v>0</v>
      </c>
      <c r="H32" s="19">
        <v>0</v>
      </c>
      <c r="I32" s="19">
        <f t="shared" si="0"/>
        <v>0</v>
      </c>
    </row>
    <row r="33" spans="1:15">
      <c r="A33" s="14">
        <v>1</v>
      </c>
      <c r="B33" s="29" t="s">
        <v>80</v>
      </c>
      <c r="C33" t="s">
        <v>81</v>
      </c>
      <c r="E33" t="s">
        <v>50</v>
      </c>
      <c r="F33" s="17">
        <v>45964</v>
      </c>
      <c r="G33" s="19">
        <v>0</v>
      </c>
      <c r="H33" s="19">
        <v>0</v>
      </c>
      <c r="I33" s="19">
        <f t="shared" si="0"/>
        <v>0</v>
      </c>
    </row>
    <row r="34" spans="1:15">
      <c r="A34" s="14">
        <v>1</v>
      </c>
      <c r="B34" s="28">
        <v>2.4</v>
      </c>
      <c r="C34" s="13" t="s">
        <v>82</v>
      </c>
      <c r="E34" t="s">
        <v>50</v>
      </c>
      <c r="F34" s="17">
        <v>45964</v>
      </c>
      <c r="G34" s="19">
        <v>0</v>
      </c>
      <c r="H34" s="19">
        <v>0</v>
      </c>
      <c r="I34" s="19">
        <f t="shared" si="0"/>
        <v>0</v>
      </c>
    </row>
    <row r="35" spans="1:15">
      <c r="A35" s="14">
        <f>AVERAGE(A36:A51)</f>
        <v>1</v>
      </c>
      <c r="B35" s="28">
        <v>2.5</v>
      </c>
      <c r="C35" s="13" t="s">
        <v>83</v>
      </c>
      <c r="I35" s="19">
        <f t="shared" si="0"/>
        <v>0</v>
      </c>
    </row>
    <row r="36" spans="1:15">
      <c r="A36" s="14"/>
      <c r="B36" s="29" t="s">
        <v>84</v>
      </c>
      <c r="C36" s="13" t="s">
        <v>85</v>
      </c>
      <c r="I36" s="19"/>
    </row>
    <row r="37" spans="1:15">
      <c r="A37" s="14"/>
      <c r="B37" s="28" t="s">
        <v>86</v>
      </c>
      <c r="C37" s="13" t="s">
        <v>87</v>
      </c>
      <c r="E37" t="s">
        <v>88</v>
      </c>
      <c r="I37" s="19"/>
    </row>
    <row r="38" spans="1:15">
      <c r="A38" s="14">
        <v>1</v>
      </c>
      <c r="B38" s="29" t="s">
        <v>89</v>
      </c>
      <c r="C38" t="s">
        <v>90</v>
      </c>
      <c r="E38" t="s">
        <v>50</v>
      </c>
      <c r="F38" s="17">
        <v>45964</v>
      </c>
      <c r="G38" s="19">
        <v>0</v>
      </c>
      <c r="H38" s="19">
        <v>0</v>
      </c>
      <c r="I38" s="19"/>
    </row>
    <row r="39" spans="1:15">
      <c r="A39" s="46">
        <v>1</v>
      </c>
      <c r="B39" s="29" t="s">
        <v>91</v>
      </c>
      <c r="C39" t="s">
        <v>92</v>
      </c>
      <c r="E39" t="s">
        <v>50</v>
      </c>
      <c r="F39" s="17">
        <v>45964</v>
      </c>
      <c r="G39" s="19">
        <v>0</v>
      </c>
      <c r="H39" s="19">
        <v>0</v>
      </c>
      <c r="I39" s="19">
        <f>H39-G39</f>
        <v>0</v>
      </c>
      <c r="K39" t="s">
        <v>31</v>
      </c>
      <c r="L39" t="s">
        <v>32</v>
      </c>
      <c r="M39" t="s">
        <v>33</v>
      </c>
      <c r="N39" t="s">
        <v>34</v>
      </c>
      <c r="O39" t="s">
        <v>93</v>
      </c>
    </row>
    <row r="40" spans="1:15">
      <c r="A40" s="14">
        <f>AVERAGE(A41:A42)</f>
        <v>1</v>
      </c>
      <c r="B40" s="28" t="s">
        <v>94</v>
      </c>
      <c r="C40" s="13" t="s">
        <v>95</v>
      </c>
      <c r="I40" s="19">
        <f>H40-G40</f>
        <v>0</v>
      </c>
    </row>
    <row r="41" spans="1:15">
      <c r="A41" s="14">
        <v>1</v>
      </c>
      <c r="B41" s="29" t="s">
        <v>96</v>
      </c>
      <c r="C41" t="s">
        <v>97</v>
      </c>
      <c r="E41" t="s">
        <v>98</v>
      </c>
      <c r="F41" s="17">
        <v>45964</v>
      </c>
      <c r="G41" s="19">
        <v>0</v>
      </c>
      <c r="H41" s="19">
        <v>0</v>
      </c>
      <c r="I41" s="19"/>
    </row>
    <row r="42" spans="1:15">
      <c r="A42" s="46">
        <v>1</v>
      </c>
      <c r="B42" s="29" t="s">
        <v>99</v>
      </c>
      <c r="C42" t="s">
        <v>100</v>
      </c>
      <c r="E42" t="s">
        <v>101</v>
      </c>
      <c r="F42" s="17">
        <v>45964</v>
      </c>
      <c r="G42" s="19">
        <v>0</v>
      </c>
      <c r="H42" s="19">
        <v>0</v>
      </c>
      <c r="I42" s="19"/>
      <c r="J42" t="s">
        <v>102</v>
      </c>
    </row>
    <row r="43" spans="1:15">
      <c r="A43" s="14">
        <v>1</v>
      </c>
      <c r="B43" s="28" t="s">
        <v>103</v>
      </c>
      <c r="C43" s="13" t="s">
        <v>104</v>
      </c>
      <c r="I43" s="19">
        <f>H43-G43</f>
        <v>0</v>
      </c>
    </row>
    <row r="44" spans="1:15">
      <c r="A44" s="14">
        <v>1</v>
      </c>
      <c r="B44" s="29" t="s">
        <v>105</v>
      </c>
      <c r="C44" t="s">
        <v>106</v>
      </c>
      <c r="E44" t="s">
        <v>107</v>
      </c>
      <c r="F44" s="17">
        <v>45964</v>
      </c>
      <c r="G44" s="19">
        <v>0</v>
      </c>
      <c r="H44" s="19">
        <v>0</v>
      </c>
      <c r="I44" s="19"/>
    </row>
    <row r="45" spans="1:15">
      <c r="A45" s="14">
        <v>1</v>
      </c>
      <c r="B45" s="28" t="s">
        <v>108</v>
      </c>
      <c r="C45" s="13" t="s">
        <v>109</v>
      </c>
      <c r="E45" t="s">
        <v>110</v>
      </c>
      <c r="I45" s="19"/>
    </row>
    <row r="46" spans="1:15">
      <c r="A46" s="14">
        <v>1</v>
      </c>
      <c r="B46" s="29" t="s">
        <v>111</v>
      </c>
      <c r="C46" t="s">
        <v>112</v>
      </c>
      <c r="E46" t="s">
        <v>113</v>
      </c>
      <c r="F46" s="17">
        <v>45964</v>
      </c>
      <c r="G46" s="19">
        <v>0</v>
      </c>
      <c r="H46" s="19">
        <v>0</v>
      </c>
      <c r="I46" s="19"/>
    </row>
    <row r="47" spans="1:15">
      <c r="A47" s="14">
        <v>1</v>
      </c>
      <c r="B47" s="28" t="s">
        <v>114</v>
      </c>
      <c r="C47" s="13" t="s">
        <v>115</v>
      </c>
      <c r="E47" t="s">
        <v>116</v>
      </c>
      <c r="I47" s="19"/>
    </row>
    <row r="48" spans="1:15">
      <c r="A48" s="14">
        <v>1</v>
      </c>
      <c r="B48" s="29" t="s">
        <v>117</v>
      </c>
      <c r="C48" t="s">
        <v>118</v>
      </c>
      <c r="E48" t="s">
        <v>116</v>
      </c>
      <c r="F48" s="17">
        <v>45964</v>
      </c>
      <c r="G48" s="19">
        <v>0</v>
      </c>
      <c r="H48" s="19">
        <v>0</v>
      </c>
    </row>
    <row r="49" spans="1:10">
      <c r="A49" s="14">
        <v>1</v>
      </c>
      <c r="B49" s="29" t="s">
        <v>117</v>
      </c>
      <c r="C49" t="s">
        <v>119</v>
      </c>
      <c r="E49" t="s">
        <v>120</v>
      </c>
      <c r="F49" s="17">
        <v>45964</v>
      </c>
      <c r="G49" s="19">
        <v>0</v>
      </c>
      <c r="H49" s="19">
        <v>0</v>
      </c>
    </row>
    <row r="50" spans="1:10">
      <c r="A50" s="14">
        <v>1</v>
      </c>
      <c r="B50" s="28" t="s">
        <v>121</v>
      </c>
      <c r="C50" s="13" t="s">
        <v>122</v>
      </c>
      <c r="E50" t="s">
        <v>18</v>
      </c>
      <c r="F50" s="17">
        <v>45964</v>
      </c>
      <c r="G50" s="19">
        <v>0</v>
      </c>
      <c r="H50" s="19">
        <v>0</v>
      </c>
      <c r="I50" s="19">
        <f>H50-G50</f>
        <v>0</v>
      </c>
    </row>
    <row r="51" spans="1:10">
      <c r="A51" s="14">
        <v>1</v>
      </c>
      <c r="B51" s="29" t="s">
        <v>123</v>
      </c>
      <c r="C51" t="s">
        <v>124</v>
      </c>
      <c r="E51" t="s">
        <v>18</v>
      </c>
      <c r="F51" s="17">
        <v>45964</v>
      </c>
      <c r="G51" s="19">
        <v>0</v>
      </c>
      <c r="H51" s="19">
        <v>0</v>
      </c>
      <c r="I51" s="19">
        <f>H51-G51</f>
        <v>0</v>
      </c>
    </row>
    <row r="52" spans="1:10" s="25" customFormat="1" ht="15.95">
      <c r="A52" s="20">
        <f>AVERAGE(A53,A58,A133,A161)</f>
        <v>0.98028790509259267</v>
      </c>
      <c r="B52" s="27">
        <v>3</v>
      </c>
      <c r="C52" s="21" t="s">
        <v>125</v>
      </c>
      <c r="D52" s="22"/>
      <c r="E52" s="22"/>
      <c r="F52" s="23"/>
      <c r="G52" s="24"/>
      <c r="H52" s="24"/>
      <c r="I52" s="24"/>
    </row>
    <row r="53" spans="1:10">
      <c r="A53" s="14">
        <f>AVERAGE(A54:A57)</f>
        <v>1</v>
      </c>
      <c r="B53" s="28">
        <v>3.1</v>
      </c>
      <c r="C53" s="13" t="s">
        <v>126</v>
      </c>
      <c r="I53" s="19">
        <f>H53-G53</f>
        <v>0</v>
      </c>
    </row>
    <row r="54" spans="1:10">
      <c r="A54" s="14">
        <v>1</v>
      </c>
      <c r="B54" s="29" t="s">
        <v>127</v>
      </c>
      <c r="C54" t="s">
        <v>128</v>
      </c>
      <c r="F54" s="17">
        <v>45964</v>
      </c>
      <c r="G54" s="19">
        <v>0</v>
      </c>
      <c r="H54" s="19">
        <v>0</v>
      </c>
      <c r="I54" s="19">
        <f>H54-G54</f>
        <v>0</v>
      </c>
    </row>
    <row r="55" spans="1:10">
      <c r="A55" s="14">
        <v>1</v>
      </c>
      <c r="B55" s="29" t="s">
        <v>129</v>
      </c>
      <c r="C55" t="s">
        <v>130</v>
      </c>
      <c r="E55" t="s">
        <v>50</v>
      </c>
      <c r="F55" s="17">
        <v>45964</v>
      </c>
      <c r="G55" s="19">
        <v>0</v>
      </c>
      <c r="H55" s="19">
        <v>0</v>
      </c>
      <c r="I55" s="19"/>
    </row>
    <row r="56" spans="1:10">
      <c r="A56" s="14">
        <v>1</v>
      </c>
      <c r="B56" s="29" t="s">
        <v>131</v>
      </c>
      <c r="C56" t="s">
        <v>132</v>
      </c>
      <c r="E56" t="s">
        <v>18</v>
      </c>
      <c r="F56" s="17">
        <v>45964</v>
      </c>
      <c r="G56" s="19">
        <v>0</v>
      </c>
      <c r="H56" s="19">
        <v>0</v>
      </c>
      <c r="I56" s="19">
        <f>H56-G56</f>
        <v>0</v>
      </c>
    </row>
    <row r="57" spans="1:10">
      <c r="A57" s="14">
        <v>1</v>
      </c>
      <c r="B57" s="29" t="s">
        <v>133</v>
      </c>
      <c r="C57" t="s">
        <v>134</v>
      </c>
      <c r="E57" t="s">
        <v>50</v>
      </c>
      <c r="F57" s="17">
        <v>45967</v>
      </c>
      <c r="G57" s="19">
        <v>0</v>
      </c>
      <c r="H57" s="19">
        <v>0</v>
      </c>
      <c r="I57" s="19">
        <f>H57-G57</f>
        <v>0</v>
      </c>
    </row>
    <row r="58" spans="1:10">
      <c r="A58" s="14">
        <f>AVERAGE(A59:A132)</f>
        <v>1</v>
      </c>
      <c r="B58" s="28">
        <v>3.2</v>
      </c>
      <c r="C58" s="13" t="s">
        <v>135</v>
      </c>
      <c r="I58" s="19">
        <f>H58-G58</f>
        <v>0</v>
      </c>
    </row>
    <row r="59" spans="1:10">
      <c r="A59" s="14">
        <v>1</v>
      </c>
      <c r="B59" s="28" t="s">
        <v>136</v>
      </c>
      <c r="C59" s="13" t="s">
        <v>137</v>
      </c>
      <c r="E59" t="s">
        <v>37</v>
      </c>
      <c r="I59" s="19"/>
    </row>
    <row r="60" spans="1:10">
      <c r="A60" s="14">
        <f>AVERAGE(A61:A69)</f>
        <v>1</v>
      </c>
      <c r="B60" s="28" t="s">
        <v>138</v>
      </c>
      <c r="C60" s="13" t="s">
        <v>139</v>
      </c>
      <c r="I60" s="19">
        <f>H60-G60</f>
        <v>0</v>
      </c>
    </row>
    <row r="61" spans="1:10">
      <c r="A61" s="14">
        <v>1</v>
      </c>
      <c r="B61" s="29" t="s">
        <v>140</v>
      </c>
      <c r="C61" t="s">
        <v>141</v>
      </c>
      <c r="E61" t="s">
        <v>142</v>
      </c>
      <c r="F61" s="17">
        <v>45968</v>
      </c>
      <c r="G61" s="19">
        <v>0.375</v>
      </c>
      <c r="H61" s="19">
        <v>0.375</v>
      </c>
      <c r="I61" s="19">
        <f t="shared" ref="I61:I68" si="1">H61-G61</f>
        <v>0</v>
      </c>
    </row>
    <row r="62" spans="1:10">
      <c r="A62" s="14">
        <v>1</v>
      </c>
      <c r="B62" s="29" t="s">
        <v>143</v>
      </c>
      <c r="C62" t="s">
        <v>144</v>
      </c>
      <c r="E62" t="s">
        <v>101</v>
      </c>
      <c r="F62" s="17">
        <v>45968</v>
      </c>
      <c r="G62" s="19">
        <v>0.6875</v>
      </c>
      <c r="H62" s="19">
        <v>0.69097222222222221</v>
      </c>
      <c r="I62" s="19">
        <f t="shared" si="1"/>
        <v>3.4722222222222099E-3</v>
      </c>
    </row>
    <row r="63" spans="1:10">
      <c r="A63" s="14">
        <v>1</v>
      </c>
      <c r="B63" s="29" t="s">
        <v>145</v>
      </c>
      <c r="C63" t="s">
        <v>146</v>
      </c>
      <c r="E63" t="s">
        <v>147</v>
      </c>
      <c r="F63" s="17">
        <v>45968</v>
      </c>
      <c r="G63" s="19">
        <v>0.69097222222222221</v>
      </c>
      <c r="H63" s="19">
        <v>0.69791666666666663</v>
      </c>
      <c r="I63" s="19">
        <f t="shared" si="1"/>
        <v>6.9444444444444198E-3</v>
      </c>
    </row>
    <row r="64" spans="1:10">
      <c r="A64" s="14">
        <v>1</v>
      </c>
      <c r="B64" s="29" t="s">
        <v>148</v>
      </c>
      <c r="C64" t="s">
        <v>149</v>
      </c>
      <c r="E64" t="s">
        <v>101</v>
      </c>
      <c r="F64" s="17">
        <v>45968</v>
      </c>
      <c r="G64" s="19">
        <v>0.69791666666666663</v>
      </c>
      <c r="H64" s="19">
        <v>0.70486111111111116</v>
      </c>
      <c r="I64" s="19">
        <f t="shared" si="1"/>
        <v>6.9444444444445308E-3</v>
      </c>
      <c r="J64" t="s">
        <v>150</v>
      </c>
    </row>
    <row r="65" spans="1:10">
      <c r="A65" s="14">
        <v>1</v>
      </c>
      <c r="B65" s="29" t="s">
        <v>151</v>
      </c>
      <c r="C65" t="s">
        <v>152</v>
      </c>
      <c r="E65" t="s">
        <v>153</v>
      </c>
      <c r="F65" s="17">
        <v>45968</v>
      </c>
      <c r="G65" s="19">
        <v>0.69791666666666663</v>
      </c>
      <c r="H65" s="19">
        <v>0.70138888888888884</v>
      </c>
      <c r="I65" s="19">
        <f t="shared" si="1"/>
        <v>3.4722222222222099E-3</v>
      </c>
    </row>
    <row r="66" spans="1:10">
      <c r="A66" s="14">
        <v>1</v>
      </c>
      <c r="B66" s="29" t="s">
        <v>154</v>
      </c>
      <c r="C66" t="s">
        <v>155</v>
      </c>
      <c r="E66" t="s">
        <v>153</v>
      </c>
      <c r="F66" s="17">
        <v>45968</v>
      </c>
      <c r="G66" s="19">
        <v>0.69791666666666663</v>
      </c>
      <c r="H66" s="19">
        <v>0.70138888888888884</v>
      </c>
      <c r="I66" s="19">
        <f t="shared" si="1"/>
        <v>3.4722222222222099E-3</v>
      </c>
    </row>
    <row r="67" spans="1:10">
      <c r="A67" s="14">
        <v>1</v>
      </c>
      <c r="B67" s="29" t="s">
        <v>156</v>
      </c>
      <c r="C67" t="s">
        <v>157</v>
      </c>
      <c r="E67" t="s">
        <v>153</v>
      </c>
      <c r="F67" s="17">
        <v>45968</v>
      </c>
      <c r="G67" s="19">
        <v>0.69791666666666663</v>
      </c>
      <c r="H67" s="19">
        <v>0.70138888888888884</v>
      </c>
      <c r="I67" s="19">
        <f t="shared" si="1"/>
        <v>3.4722222222222099E-3</v>
      </c>
      <c r="J67" t="s">
        <v>158</v>
      </c>
    </row>
    <row r="68" spans="1:10">
      <c r="A68" s="14">
        <v>1</v>
      </c>
      <c r="B68" s="29" t="s">
        <v>159</v>
      </c>
      <c r="C68" t="s">
        <v>160</v>
      </c>
      <c r="E68" t="s">
        <v>153</v>
      </c>
      <c r="F68" s="17">
        <v>45968</v>
      </c>
      <c r="G68" s="19">
        <v>0.69791666666666663</v>
      </c>
      <c r="H68" s="19">
        <v>0.70138888888888884</v>
      </c>
      <c r="I68" s="19">
        <f t="shared" si="1"/>
        <v>3.4722222222222099E-3</v>
      </c>
      <c r="J68" t="s">
        <v>158</v>
      </c>
    </row>
    <row r="69" spans="1:10">
      <c r="A69" s="14">
        <v>1</v>
      </c>
      <c r="B69" s="29" t="s">
        <v>161</v>
      </c>
      <c r="C69" t="s">
        <v>162</v>
      </c>
      <c r="E69" t="s">
        <v>101</v>
      </c>
      <c r="F69" s="17">
        <v>45968</v>
      </c>
      <c r="G69" s="19">
        <v>0.69791666666666663</v>
      </c>
      <c r="H69" s="19">
        <v>0.70138888888888884</v>
      </c>
      <c r="I69" s="19">
        <f>H69-G69</f>
        <v>3.4722222222222099E-3</v>
      </c>
      <c r="J69" t="s">
        <v>158</v>
      </c>
    </row>
    <row r="70" spans="1:10">
      <c r="A70" s="14">
        <v>1</v>
      </c>
      <c r="B70" s="28" t="s">
        <v>163</v>
      </c>
      <c r="C70" s="13" t="s">
        <v>164</v>
      </c>
      <c r="I70" s="19"/>
    </row>
    <row r="71" spans="1:10">
      <c r="A71" s="14">
        <v>1</v>
      </c>
      <c r="B71" s="29" t="s">
        <v>165</v>
      </c>
      <c r="C71" t="s">
        <v>166</v>
      </c>
      <c r="E71" t="s">
        <v>167</v>
      </c>
      <c r="F71" s="17">
        <v>45968</v>
      </c>
      <c r="G71" s="19">
        <v>0.67708333333333337</v>
      </c>
      <c r="H71" s="19">
        <v>0.67847222222222225</v>
      </c>
      <c r="I71" s="19">
        <f t="shared" ref="I71:I78" si="2">H71-G71</f>
        <v>1.388888888888884E-3</v>
      </c>
    </row>
    <row r="72" spans="1:10">
      <c r="A72" s="14">
        <v>1</v>
      </c>
      <c r="B72" s="29" t="s">
        <v>168</v>
      </c>
      <c r="C72" t="s">
        <v>169</v>
      </c>
      <c r="E72" t="s">
        <v>167</v>
      </c>
      <c r="F72" s="17">
        <v>45968</v>
      </c>
      <c r="G72" s="19">
        <v>0.6875</v>
      </c>
      <c r="H72" s="19">
        <v>0.69791666666666663</v>
      </c>
      <c r="I72" s="19">
        <f t="shared" si="2"/>
        <v>1.041666666666663E-2</v>
      </c>
    </row>
    <row r="73" spans="1:10">
      <c r="A73" s="14">
        <v>1</v>
      </c>
      <c r="B73" s="29" t="s">
        <v>170</v>
      </c>
      <c r="C73" t="s">
        <v>171</v>
      </c>
      <c r="E73" t="s">
        <v>167</v>
      </c>
      <c r="F73" s="17">
        <v>45968</v>
      </c>
      <c r="G73" s="19">
        <v>0.67708333333333337</v>
      </c>
      <c r="H73" s="19">
        <v>0.6875</v>
      </c>
      <c r="I73" s="19">
        <f t="shared" si="2"/>
        <v>1.041666666666663E-2</v>
      </c>
    </row>
    <row r="74" spans="1:10">
      <c r="A74" s="14">
        <v>1</v>
      </c>
      <c r="B74" s="29" t="s">
        <v>172</v>
      </c>
      <c r="C74" t="s">
        <v>173</v>
      </c>
      <c r="E74" t="s">
        <v>167</v>
      </c>
      <c r="F74" s="17">
        <v>45968</v>
      </c>
      <c r="G74" s="19">
        <v>0.6875</v>
      </c>
      <c r="H74" s="19">
        <v>0.69791666666666663</v>
      </c>
      <c r="I74" s="19">
        <f t="shared" si="2"/>
        <v>1.041666666666663E-2</v>
      </c>
    </row>
    <row r="75" spans="1:10">
      <c r="A75" s="14">
        <v>1</v>
      </c>
      <c r="B75" s="29" t="s">
        <v>174</v>
      </c>
      <c r="C75" t="s">
        <v>175</v>
      </c>
      <c r="E75" t="s">
        <v>167</v>
      </c>
      <c r="F75" s="17">
        <v>45968</v>
      </c>
      <c r="G75" s="19">
        <v>0.69791666666666663</v>
      </c>
      <c r="H75" s="19">
        <v>0.70138888888888884</v>
      </c>
      <c r="I75" s="19">
        <f t="shared" si="2"/>
        <v>3.4722222222222099E-3</v>
      </c>
    </row>
    <row r="76" spans="1:10">
      <c r="A76" s="14">
        <v>1</v>
      </c>
      <c r="B76" s="29" t="s">
        <v>176</v>
      </c>
      <c r="C76" t="s">
        <v>177</v>
      </c>
      <c r="E76" t="s">
        <v>167</v>
      </c>
      <c r="F76" s="17">
        <v>45968</v>
      </c>
      <c r="G76" s="19">
        <v>0.69791666666666663</v>
      </c>
      <c r="H76" s="19">
        <v>0.70138888888888884</v>
      </c>
      <c r="I76" s="19">
        <f t="shared" si="2"/>
        <v>3.4722222222222099E-3</v>
      </c>
    </row>
    <row r="77" spans="1:10">
      <c r="A77" s="14">
        <v>1</v>
      </c>
      <c r="B77" s="29" t="s">
        <v>178</v>
      </c>
      <c r="C77" t="s">
        <v>179</v>
      </c>
      <c r="E77" t="s">
        <v>167</v>
      </c>
      <c r="F77" s="17">
        <v>45968</v>
      </c>
      <c r="G77" s="19">
        <v>0.70138888888888884</v>
      </c>
      <c r="H77" s="19">
        <v>0.70486111111111116</v>
      </c>
      <c r="I77" s="19">
        <f t="shared" si="2"/>
        <v>3.4722222222223209E-3</v>
      </c>
    </row>
    <row r="78" spans="1:10">
      <c r="A78" s="14">
        <v>1</v>
      </c>
      <c r="B78" s="29" t="s">
        <v>180</v>
      </c>
      <c r="C78" t="s">
        <v>181</v>
      </c>
      <c r="E78" t="s">
        <v>167</v>
      </c>
      <c r="F78" s="17">
        <v>45968</v>
      </c>
      <c r="G78" s="19">
        <v>0.70138888888888884</v>
      </c>
      <c r="H78" s="19">
        <v>0.70833333333333337</v>
      </c>
      <c r="I78" s="19">
        <f t="shared" si="2"/>
        <v>6.9444444444445308E-3</v>
      </c>
    </row>
    <row r="79" spans="1:10">
      <c r="A79" s="14">
        <v>1</v>
      </c>
      <c r="B79" s="29" t="s">
        <v>182</v>
      </c>
      <c r="C79" t="s">
        <v>183</v>
      </c>
      <c r="E79" t="s">
        <v>167</v>
      </c>
      <c r="F79" s="17">
        <v>45968</v>
      </c>
      <c r="G79" s="19">
        <v>0.67708333333333337</v>
      </c>
      <c r="H79" s="19">
        <v>0.6875</v>
      </c>
      <c r="I79" s="19">
        <f>H79-G79</f>
        <v>1.041666666666663E-2</v>
      </c>
    </row>
    <row r="80" spans="1:10">
      <c r="A80" s="14">
        <v>1</v>
      </c>
      <c r="B80" s="29" t="s">
        <v>184</v>
      </c>
      <c r="C80" t="s">
        <v>185</v>
      </c>
      <c r="E80" t="s">
        <v>167</v>
      </c>
      <c r="F80" s="17">
        <v>45968</v>
      </c>
      <c r="G80" s="19">
        <v>0.67708333333333337</v>
      </c>
      <c r="H80" s="19">
        <v>0.6875</v>
      </c>
      <c r="I80" s="19">
        <f>H80-G80</f>
        <v>1.041666666666663E-2</v>
      </c>
    </row>
    <row r="81" spans="1:10">
      <c r="A81" s="14">
        <v>1</v>
      </c>
      <c r="B81" s="29" t="s">
        <v>186</v>
      </c>
      <c r="C81" t="s">
        <v>187</v>
      </c>
      <c r="E81" t="s">
        <v>167</v>
      </c>
      <c r="F81" s="17">
        <v>45968</v>
      </c>
      <c r="G81" s="19">
        <v>0.67708333333333337</v>
      </c>
      <c r="H81" s="19">
        <v>0.69791666666666663</v>
      </c>
      <c r="I81" s="19">
        <f>H81-G81</f>
        <v>2.0833333333333259E-2</v>
      </c>
    </row>
    <row r="82" spans="1:10">
      <c r="A82" s="14">
        <v>1</v>
      </c>
      <c r="B82" s="29" t="s">
        <v>188</v>
      </c>
      <c r="C82" t="s">
        <v>189</v>
      </c>
      <c r="E82" t="s">
        <v>167</v>
      </c>
      <c r="F82" s="17">
        <v>45968</v>
      </c>
      <c r="G82" s="19">
        <v>0.67708333333333337</v>
      </c>
      <c r="H82" s="19">
        <v>0.69791666666666663</v>
      </c>
      <c r="I82" s="19">
        <f>H82-G82</f>
        <v>2.0833333333333259E-2</v>
      </c>
    </row>
    <row r="83" spans="1:10">
      <c r="A83" s="14">
        <v>1</v>
      </c>
      <c r="B83" s="28" t="s">
        <v>190</v>
      </c>
      <c r="C83" s="13" t="s">
        <v>191</v>
      </c>
      <c r="I83" s="19"/>
    </row>
    <row r="84" spans="1:10">
      <c r="A84" s="14">
        <v>1</v>
      </c>
      <c r="B84" s="29" t="s">
        <v>192</v>
      </c>
      <c r="C84" t="s">
        <v>193</v>
      </c>
      <c r="E84" t="s">
        <v>110</v>
      </c>
      <c r="F84" s="17">
        <v>45968</v>
      </c>
      <c r="G84" s="19">
        <v>0.6875</v>
      </c>
      <c r="H84" s="19">
        <v>0.69791666666666663</v>
      </c>
      <c r="I84" s="19">
        <v>1.0416666666666666E-2</v>
      </c>
    </row>
    <row r="85" spans="1:10">
      <c r="A85" s="14">
        <v>1</v>
      </c>
      <c r="B85" s="29" t="s">
        <v>194</v>
      </c>
      <c r="C85" t="s">
        <v>195</v>
      </c>
      <c r="E85" t="s">
        <v>110</v>
      </c>
      <c r="F85" s="17">
        <v>45968</v>
      </c>
      <c r="G85" s="19">
        <v>0.69791666666666663</v>
      </c>
      <c r="H85" s="19">
        <v>0.70833333333333337</v>
      </c>
      <c r="I85" s="19">
        <v>1.0416666666666666E-2</v>
      </c>
    </row>
    <row r="86" spans="1:10">
      <c r="A86" s="14">
        <v>1</v>
      </c>
      <c r="B86" s="29" t="s">
        <v>196</v>
      </c>
      <c r="C86" t="s">
        <v>197</v>
      </c>
      <c r="E86" t="s">
        <v>110</v>
      </c>
      <c r="F86" s="17">
        <v>45968</v>
      </c>
      <c r="G86" s="19">
        <v>0.6875</v>
      </c>
      <c r="H86" s="19">
        <v>0.70833333333333337</v>
      </c>
      <c r="I86" s="19">
        <v>2.0833333333333332E-2</v>
      </c>
    </row>
    <row r="87" spans="1:10">
      <c r="A87" s="14">
        <v>1</v>
      </c>
      <c r="B87" s="29" t="s">
        <v>198</v>
      </c>
      <c r="C87" t="s">
        <v>199</v>
      </c>
      <c r="E87" t="s">
        <v>110</v>
      </c>
      <c r="F87" s="17">
        <v>45968</v>
      </c>
      <c r="G87" s="19">
        <v>0.6875</v>
      </c>
      <c r="H87" s="19">
        <v>0.70833333333333337</v>
      </c>
      <c r="I87" s="19">
        <v>2.0833333333333332E-2</v>
      </c>
    </row>
    <row r="88" spans="1:10">
      <c r="A88" s="14">
        <v>1</v>
      </c>
      <c r="B88" s="29" t="s">
        <v>200</v>
      </c>
      <c r="C88" t="s">
        <v>201</v>
      </c>
      <c r="E88" t="s">
        <v>110</v>
      </c>
      <c r="F88" s="17">
        <v>45968</v>
      </c>
      <c r="G88" s="19">
        <v>0.6875</v>
      </c>
      <c r="H88" s="19">
        <v>0.70833333333333337</v>
      </c>
      <c r="I88" s="19">
        <v>2.0833333333333332E-2</v>
      </c>
    </row>
    <row r="89" spans="1:10">
      <c r="A89" s="14">
        <v>1</v>
      </c>
      <c r="B89" s="28" t="s">
        <v>202</v>
      </c>
      <c r="C89" s="13" t="s">
        <v>203</v>
      </c>
      <c r="I89" s="19"/>
    </row>
    <row r="90" spans="1:10">
      <c r="A90" s="14">
        <v>1</v>
      </c>
      <c r="B90" s="29" t="s">
        <v>204</v>
      </c>
      <c r="C90" s="65" t="s">
        <v>205</v>
      </c>
      <c r="E90" s="60" t="s">
        <v>206</v>
      </c>
      <c r="F90" s="17">
        <v>45968</v>
      </c>
      <c r="G90" s="61">
        <v>0.70833333333333337</v>
      </c>
      <c r="H90" s="61">
        <v>0.72916666666666663</v>
      </c>
      <c r="I90" s="19"/>
      <c r="J90" t="s">
        <v>207</v>
      </c>
    </row>
    <row r="91" spans="1:10">
      <c r="A91" s="14">
        <v>1</v>
      </c>
      <c r="B91" s="29" t="s">
        <v>208</v>
      </c>
      <c r="C91" s="34" t="s">
        <v>209</v>
      </c>
      <c r="D91" s="13"/>
      <c r="E91" s="34" t="s">
        <v>116</v>
      </c>
      <c r="F91" s="17">
        <v>45968</v>
      </c>
      <c r="G91" s="61">
        <v>0.6875</v>
      </c>
      <c r="H91" s="61">
        <v>0.69791666666666663</v>
      </c>
    </row>
    <row r="92" spans="1:10">
      <c r="A92" s="14">
        <v>1</v>
      </c>
      <c r="B92" s="29" t="s">
        <v>210</v>
      </c>
      <c r="C92" s="34" t="s">
        <v>211</v>
      </c>
      <c r="D92" s="13"/>
      <c r="E92" s="34" t="s">
        <v>116</v>
      </c>
      <c r="F92" s="17">
        <v>45968</v>
      </c>
      <c r="G92" s="61">
        <v>0.70833333333333337</v>
      </c>
      <c r="H92" s="61">
        <v>0.71527777777777779</v>
      </c>
      <c r="I92" s="19"/>
      <c r="J92" t="s">
        <v>207</v>
      </c>
    </row>
    <row r="93" spans="1:10">
      <c r="A93" s="14">
        <v>1</v>
      </c>
      <c r="B93" s="29" t="s">
        <v>212</v>
      </c>
      <c r="C93" s="34" t="s">
        <v>213</v>
      </c>
      <c r="D93" s="13"/>
      <c r="E93" s="109" t="s">
        <v>116</v>
      </c>
      <c r="F93" s="17">
        <v>45968</v>
      </c>
      <c r="G93" s="61">
        <v>0.71527777777777779</v>
      </c>
      <c r="H93" s="61">
        <v>0.72222222222222221</v>
      </c>
      <c r="I93" s="19"/>
      <c r="J93" t="s">
        <v>207</v>
      </c>
    </row>
    <row r="94" spans="1:10">
      <c r="A94" s="14">
        <v>1</v>
      </c>
      <c r="B94" s="29" t="s">
        <v>214</v>
      </c>
      <c r="C94" s="34" t="s">
        <v>215</v>
      </c>
      <c r="D94" s="13"/>
      <c r="E94" s="109" t="s">
        <v>116</v>
      </c>
      <c r="F94" s="17">
        <v>45968</v>
      </c>
      <c r="G94" s="61">
        <v>0.72222222222222221</v>
      </c>
      <c r="H94" s="61">
        <v>0.73263888888888884</v>
      </c>
      <c r="J94" t="s">
        <v>207</v>
      </c>
    </row>
    <row r="95" spans="1:10">
      <c r="A95" s="14">
        <v>1</v>
      </c>
      <c r="B95" s="29" t="s">
        <v>216</v>
      </c>
      <c r="C95" t="s">
        <v>217</v>
      </c>
      <c r="D95" s="13"/>
      <c r="E95" s="109" t="s">
        <v>116</v>
      </c>
      <c r="F95" s="17">
        <v>45968</v>
      </c>
      <c r="G95" s="61">
        <v>0.69791666666666663</v>
      </c>
      <c r="H95" s="61">
        <v>0.70138888888888884</v>
      </c>
    </row>
    <row r="96" spans="1:10">
      <c r="A96" s="14">
        <v>1</v>
      </c>
      <c r="B96" s="29" t="s">
        <v>218</v>
      </c>
      <c r="C96" s="34" t="s">
        <v>219</v>
      </c>
      <c r="E96" s="109" t="s">
        <v>116</v>
      </c>
      <c r="F96" s="17">
        <v>45968</v>
      </c>
      <c r="G96" s="61">
        <v>0.73263888888888884</v>
      </c>
      <c r="H96" s="61">
        <v>0.74305555555555558</v>
      </c>
      <c r="J96" t="s">
        <v>207</v>
      </c>
    </row>
    <row r="97" spans="1:10">
      <c r="A97" s="14">
        <v>1</v>
      </c>
      <c r="B97" s="29" t="s">
        <v>220</v>
      </c>
      <c r="C97" s="109" t="s">
        <v>221</v>
      </c>
      <c r="E97" s="109" t="s">
        <v>116</v>
      </c>
      <c r="F97" s="17">
        <v>45968</v>
      </c>
      <c r="G97" s="61">
        <v>0.70138888888888884</v>
      </c>
      <c r="H97" s="61">
        <v>0.70833333333333337</v>
      </c>
    </row>
    <row r="98" spans="1:10">
      <c r="A98" s="14">
        <v>1</v>
      </c>
      <c r="B98" s="29" t="s">
        <v>222</v>
      </c>
      <c r="C98" s="109" t="s">
        <v>223</v>
      </c>
      <c r="E98" s="109" t="s">
        <v>116</v>
      </c>
      <c r="F98" s="17">
        <v>45968</v>
      </c>
      <c r="G98" s="61">
        <v>0.74305555555555558</v>
      </c>
      <c r="H98" s="61">
        <v>0.75</v>
      </c>
      <c r="J98" t="s">
        <v>207</v>
      </c>
    </row>
    <row r="99" spans="1:10">
      <c r="A99" s="14">
        <v>1</v>
      </c>
      <c r="B99" s="29" t="s">
        <v>224</v>
      </c>
      <c r="C99" t="s">
        <v>225</v>
      </c>
      <c r="D99" s="13"/>
      <c r="E99" t="s">
        <v>120</v>
      </c>
      <c r="F99" s="17">
        <v>45968</v>
      </c>
      <c r="G99" s="19">
        <v>0.6875</v>
      </c>
      <c r="H99" s="19">
        <v>0.69791666666666663</v>
      </c>
    </row>
    <row r="100" spans="1:10">
      <c r="A100" s="14">
        <v>1</v>
      </c>
      <c r="B100" s="29" t="s">
        <v>226</v>
      </c>
      <c r="C100" s="59" t="s">
        <v>227</v>
      </c>
      <c r="D100" s="13"/>
      <c r="E100" t="s">
        <v>120</v>
      </c>
      <c r="F100" s="17">
        <v>45968</v>
      </c>
      <c r="G100" s="19">
        <v>0.6875</v>
      </c>
      <c r="H100" s="19">
        <v>0.69791666666666663</v>
      </c>
    </row>
    <row r="101" spans="1:10">
      <c r="A101" s="14">
        <v>1</v>
      </c>
      <c r="B101" s="29" t="s">
        <v>228</v>
      </c>
      <c r="C101" s="59" t="s">
        <v>229</v>
      </c>
      <c r="D101" s="13"/>
      <c r="E101" t="s">
        <v>120</v>
      </c>
      <c r="F101" s="17">
        <v>45968</v>
      </c>
      <c r="G101" s="19">
        <v>0.6875</v>
      </c>
      <c r="H101" s="19">
        <v>0.69791666666666663</v>
      </c>
    </row>
    <row r="102" spans="1:10">
      <c r="A102" s="14">
        <v>1</v>
      </c>
      <c r="B102" s="29" t="s">
        <v>230</v>
      </c>
      <c r="C102" s="59" t="s">
        <v>231</v>
      </c>
      <c r="D102" s="13"/>
      <c r="E102" t="s">
        <v>120</v>
      </c>
      <c r="F102" s="17">
        <v>45968</v>
      </c>
      <c r="G102" s="19">
        <v>0.6875</v>
      </c>
      <c r="H102" s="19">
        <v>0.69791666666666663</v>
      </c>
    </row>
    <row r="103" spans="1:10">
      <c r="A103" s="14">
        <v>1</v>
      </c>
      <c r="B103" s="29" t="s">
        <v>232</v>
      </c>
      <c r="C103" s="59" t="s">
        <v>233</v>
      </c>
      <c r="D103" s="13"/>
      <c r="E103" t="s">
        <v>120</v>
      </c>
      <c r="F103" s="17">
        <v>45968</v>
      </c>
      <c r="G103" s="19">
        <v>0.6875</v>
      </c>
      <c r="H103" s="19">
        <v>0.69791666666666663</v>
      </c>
    </row>
    <row r="104" spans="1:10">
      <c r="A104" s="14">
        <v>1</v>
      </c>
      <c r="B104" s="29" t="s">
        <v>234</v>
      </c>
      <c r="C104" s="59" t="s">
        <v>235</v>
      </c>
      <c r="D104" s="13"/>
      <c r="E104" t="s">
        <v>120</v>
      </c>
      <c r="F104" s="17">
        <v>45968</v>
      </c>
      <c r="G104" s="19">
        <v>0.6875</v>
      </c>
      <c r="H104" s="19">
        <v>0.69791666666666663</v>
      </c>
      <c r="I104" s="19"/>
    </row>
    <row r="105" spans="1:10">
      <c r="A105" s="14">
        <v>1</v>
      </c>
      <c r="B105" s="29" t="s">
        <v>236</v>
      </c>
      <c r="C105" s="59" t="s">
        <v>237</v>
      </c>
      <c r="D105" s="13"/>
      <c r="E105" t="s">
        <v>120</v>
      </c>
      <c r="F105" s="17">
        <v>45968</v>
      </c>
      <c r="G105" s="19">
        <v>0.6875</v>
      </c>
      <c r="H105" s="19">
        <v>0.69791666666666663</v>
      </c>
      <c r="I105" s="19"/>
    </row>
    <row r="106" spans="1:10">
      <c r="A106" s="14">
        <v>1</v>
      </c>
      <c r="B106" s="29" t="s">
        <v>238</v>
      </c>
      <c r="C106" s="59" t="s">
        <v>239</v>
      </c>
      <c r="D106" s="13"/>
      <c r="E106" t="s">
        <v>120</v>
      </c>
      <c r="F106" s="17">
        <v>45968</v>
      </c>
      <c r="G106" s="19">
        <v>0.6875</v>
      </c>
      <c r="H106" s="19">
        <v>0.69791666666666663</v>
      </c>
      <c r="I106" s="19"/>
    </row>
    <row r="107" spans="1:10">
      <c r="A107" s="14">
        <v>1</v>
      </c>
      <c r="B107" s="29" t="s">
        <v>240</v>
      </c>
      <c r="C107" s="59" t="s">
        <v>241</v>
      </c>
      <c r="D107" s="13"/>
      <c r="E107" t="s">
        <v>120</v>
      </c>
      <c r="F107" s="17">
        <v>45968</v>
      </c>
      <c r="G107" s="19">
        <v>0.6875</v>
      </c>
      <c r="H107" s="19">
        <v>0.69791666666666663</v>
      </c>
      <c r="I107" s="19"/>
    </row>
    <row r="108" spans="1:10">
      <c r="A108" s="14">
        <v>1</v>
      </c>
      <c r="B108" s="29" t="s">
        <v>242</v>
      </c>
      <c r="C108" s="59" t="s">
        <v>243</v>
      </c>
      <c r="D108" s="13"/>
      <c r="E108" t="s">
        <v>120</v>
      </c>
      <c r="F108" s="17">
        <v>45968</v>
      </c>
      <c r="G108" s="19">
        <v>0.6875</v>
      </c>
      <c r="H108" s="19">
        <v>0.69791666666666663</v>
      </c>
      <c r="I108" s="19"/>
    </row>
    <row r="109" spans="1:10">
      <c r="A109" s="14">
        <v>1</v>
      </c>
      <c r="B109" s="29" t="s">
        <v>244</v>
      </c>
      <c r="C109" s="59" t="s">
        <v>245</v>
      </c>
      <c r="D109" s="13"/>
      <c r="E109" t="s">
        <v>120</v>
      </c>
      <c r="F109" s="17">
        <v>45968</v>
      </c>
      <c r="G109" s="19">
        <v>0.6875</v>
      </c>
      <c r="H109" s="19">
        <v>0.69791666666666663</v>
      </c>
      <c r="I109" s="19"/>
    </row>
    <row r="110" spans="1:10">
      <c r="A110" s="14">
        <v>1</v>
      </c>
      <c r="B110" s="29" t="s">
        <v>246</v>
      </c>
      <c r="C110" s="59" t="s">
        <v>247</v>
      </c>
      <c r="D110" s="13"/>
      <c r="E110" t="s">
        <v>120</v>
      </c>
      <c r="F110" s="17">
        <v>45968</v>
      </c>
      <c r="G110" s="19">
        <v>0.6875</v>
      </c>
      <c r="H110" s="19">
        <v>0.69791666666666663</v>
      </c>
      <c r="I110" s="19"/>
    </row>
    <row r="111" spans="1:10">
      <c r="A111" s="14">
        <v>1</v>
      </c>
      <c r="B111" s="29" t="s">
        <v>248</v>
      </c>
      <c r="C111" t="s">
        <v>249</v>
      </c>
      <c r="D111" s="13"/>
      <c r="E111" t="s">
        <v>120</v>
      </c>
      <c r="F111" s="17">
        <v>45968</v>
      </c>
      <c r="G111" s="19">
        <v>0.70833333333333337</v>
      </c>
      <c r="H111" s="19">
        <v>0</v>
      </c>
      <c r="I111" s="19">
        <v>0</v>
      </c>
      <c r="J111" t="s">
        <v>250</v>
      </c>
    </row>
    <row r="112" spans="1:10">
      <c r="A112" s="14">
        <v>1</v>
      </c>
      <c r="B112" s="29" t="s">
        <v>251</v>
      </c>
      <c r="C112" t="s">
        <v>252</v>
      </c>
      <c r="D112" s="13"/>
      <c r="E112" t="s">
        <v>120</v>
      </c>
      <c r="F112" s="17">
        <v>45968</v>
      </c>
      <c r="G112" s="19">
        <v>0.70833333333333337</v>
      </c>
      <c r="H112" s="19">
        <v>0</v>
      </c>
      <c r="I112" s="19">
        <v>0</v>
      </c>
      <c r="J112" t="s">
        <v>250</v>
      </c>
    </row>
    <row r="113" spans="1:10">
      <c r="A113" s="14">
        <v>1</v>
      </c>
      <c r="B113" s="29" t="s">
        <v>253</v>
      </c>
      <c r="C113" t="s">
        <v>254</v>
      </c>
      <c r="D113" s="13"/>
      <c r="E113" t="s">
        <v>120</v>
      </c>
      <c r="F113" s="17">
        <v>45968</v>
      </c>
      <c r="G113" s="19">
        <v>0.70833333333333337</v>
      </c>
      <c r="H113" s="19">
        <v>0</v>
      </c>
      <c r="I113" s="19">
        <v>0</v>
      </c>
      <c r="J113" t="s">
        <v>250</v>
      </c>
    </row>
    <row r="114" spans="1:10">
      <c r="A114" s="14">
        <v>1</v>
      </c>
      <c r="B114" s="29" t="s">
        <v>255</v>
      </c>
      <c r="C114" t="s">
        <v>256</v>
      </c>
      <c r="D114" s="13"/>
      <c r="E114" t="s">
        <v>120</v>
      </c>
      <c r="F114" s="17">
        <v>45968</v>
      </c>
      <c r="G114" s="19">
        <v>0.70833333333333337</v>
      </c>
      <c r="I114" s="19"/>
    </row>
    <row r="115" spans="1:10">
      <c r="A115" s="14">
        <v>1</v>
      </c>
      <c r="B115" s="29" t="s">
        <v>257</v>
      </c>
      <c r="C115" t="s">
        <v>258</v>
      </c>
      <c r="D115" s="13"/>
      <c r="E115" t="s">
        <v>259</v>
      </c>
      <c r="F115" s="17">
        <v>45968</v>
      </c>
      <c r="G115" s="19">
        <v>0.5</v>
      </c>
      <c r="H115" s="19">
        <v>0</v>
      </c>
      <c r="I115" s="19">
        <v>0</v>
      </c>
    </row>
    <row r="116" spans="1:10">
      <c r="A116" s="14">
        <v>1</v>
      </c>
      <c r="B116" s="28" t="s">
        <v>260</v>
      </c>
      <c r="C116" s="13" t="s">
        <v>261</v>
      </c>
      <c r="I116" s="19"/>
    </row>
    <row r="117" spans="1:10">
      <c r="A117" s="14">
        <v>1</v>
      </c>
      <c r="B117" t="s">
        <v>262</v>
      </c>
      <c r="C117" t="s">
        <v>263</v>
      </c>
      <c r="E117" t="s">
        <v>18</v>
      </c>
      <c r="F117" s="17">
        <v>45968</v>
      </c>
      <c r="G117" s="19">
        <v>0.5</v>
      </c>
      <c r="H117" s="19">
        <v>0</v>
      </c>
      <c r="I117" s="19">
        <v>0</v>
      </c>
    </row>
    <row r="118" spans="1:10">
      <c r="A118" s="14">
        <v>1</v>
      </c>
      <c r="B118" s="28" t="s">
        <v>264</v>
      </c>
      <c r="C118" s="13" t="s">
        <v>265</v>
      </c>
      <c r="I118" s="19"/>
    </row>
    <row r="119" spans="1:10">
      <c r="A119" s="14">
        <v>1</v>
      </c>
      <c r="B119" s="29" t="s">
        <v>266</v>
      </c>
      <c r="C119" t="s">
        <v>267</v>
      </c>
      <c r="E119" t="s">
        <v>50</v>
      </c>
      <c r="F119" s="17">
        <v>45968</v>
      </c>
      <c r="G119" s="19">
        <v>0.70833333333333337</v>
      </c>
      <c r="H119" s="19">
        <v>0.70833333333333337</v>
      </c>
      <c r="I119" s="19"/>
    </row>
    <row r="120" spans="1:10">
      <c r="A120" s="14">
        <v>1</v>
      </c>
      <c r="B120" s="72" t="s">
        <v>268</v>
      </c>
      <c r="C120" s="73" t="s">
        <v>269</v>
      </c>
      <c r="E120" t="s">
        <v>18</v>
      </c>
      <c r="F120" s="17">
        <v>45968</v>
      </c>
      <c r="G120" s="19">
        <v>0.70833333333333337</v>
      </c>
      <c r="H120" s="19">
        <v>0.70833333333333337</v>
      </c>
      <c r="I120" s="19"/>
    </row>
    <row r="121" spans="1:10">
      <c r="A121" s="14">
        <v>1</v>
      </c>
      <c r="B121" s="29" t="s">
        <v>270</v>
      </c>
      <c r="C121" t="s">
        <v>271</v>
      </c>
      <c r="E121" t="s">
        <v>50</v>
      </c>
      <c r="F121" s="17">
        <v>45968</v>
      </c>
      <c r="G121" s="19">
        <v>0.70833333333333337</v>
      </c>
      <c r="H121" s="19">
        <v>0.70833333333333337</v>
      </c>
      <c r="I121" s="19"/>
      <c r="J121" t="s">
        <v>272</v>
      </c>
    </row>
    <row r="122" spans="1:10">
      <c r="A122" s="14">
        <v>1</v>
      </c>
      <c r="B122" s="29" t="s">
        <v>273</v>
      </c>
      <c r="C122" t="s">
        <v>274</v>
      </c>
      <c r="E122" t="s">
        <v>50</v>
      </c>
      <c r="F122" s="17">
        <v>45968</v>
      </c>
      <c r="G122" s="19">
        <v>0.70833333333333337</v>
      </c>
      <c r="H122" s="19">
        <v>0.70833333333333337</v>
      </c>
      <c r="I122" s="19"/>
    </row>
    <row r="123" spans="1:10">
      <c r="A123" s="14">
        <v>1</v>
      </c>
      <c r="B123" s="29" t="s">
        <v>275</v>
      </c>
      <c r="C123" t="s">
        <v>276</v>
      </c>
      <c r="E123" t="s">
        <v>50</v>
      </c>
      <c r="F123" s="17">
        <v>45968</v>
      </c>
      <c r="G123" s="19">
        <v>0.70833333333333337</v>
      </c>
      <c r="H123" s="19">
        <v>0.70833333333333337</v>
      </c>
      <c r="I123" s="19">
        <f>H123-G123</f>
        <v>0</v>
      </c>
    </row>
    <row r="124" spans="1:10">
      <c r="A124" s="14">
        <v>1</v>
      </c>
      <c r="B124" s="29" t="s">
        <v>277</v>
      </c>
      <c r="C124" t="s">
        <v>278</v>
      </c>
      <c r="E124" t="s">
        <v>50</v>
      </c>
      <c r="F124" s="17">
        <v>45968</v>
      </c>
      <c r="G124" s="19">
        <v>0.70833333333333337</v>
      </c>
      <c r="H124" s="19">
        <v>0.70833333333333337</v>
      </c>
      <c r="I124" s="19"/>
    </row>
    <row r="125" spans="1:10">
      <c r="A125" s="14">
        <v>1</v>
      </c>
      <c r="B125" s="29" t="s">
        <v>279</v>
      </c>
      <c r="C125" t="s">
        <v>280</v>
      </c>
      <c r="E125" t="s">
        <v>50</v>
      </c>
      <c r="F125" s="17">
        <v>45968</v>
      </c>
      <c r="G125" s="19">
        <v>0.70833333333333337</v>
      </c>
      <c r="H125" s="19">
        <v>0.70833333333333337</v>
      </c>
      <c r="I125" s="19"/>
    </row>
    <row r="126" spans="1:10">
      <c r="A126" s="14">
        <v>1</v>
      </c>
      <c r="B126" s="29" t="s">
        <v>281</v>
      </c>
      <c r="C126" t="s">
        <v>282</v>
      </c>
      <c r="E126" t="s">
        <v>50</v>
      </c>
      <c r="F126" s="17">
        <v>45968</v>
      </c>
      <c r="G126" s="19">
        <v>0.70833333333333337</v>
      </c>
      <c r="H126" s="19">
        <v>0.70833333333333337</v>
      </c>
      <c r="I126" s="19"/>
    </row>
    <row r="127" spans="1:10">
      <c r="A127" s="14">
        <v>1</v>
      </c>
      <c r="B127" s="29" t="s">
        <v>283</v>
      </c>
      <c r="C127" t="s">
        <v>284</v>
      </c>
      <c r="E127" t="s">
        <v>50</v>
      </c>
      <c r="F127" s="17">
        <v>45968</v>
      </c>
      <c r="G127" s="19">
        <v>0.70833333333333337</v>
      </c>
      <c r="H127" s="19">
        <v>0.70833333333333337</v>
      </c>
      <c r="I127" s="19"/>
    </row>
    <row r="128" spans="1:10">
      <c r="A128" s="14">
        <v>1</v>
      </c>
      <c r="B128" s="29" t="s">
        <v>285</v>
      </c>
      <c r="C128" t="s">
        <v>286</v>
      </c>
      <c r="E128" t="s">
        <v>50</v>
      </c>
      <c r="F128" s="17">
        <v>45968</v>
      </c>
      <c r="G128" s="19">
        <v>0.70833333333333337</v>
      </c>
      <c r="H128" s="19">
        <v>0.70833333333333337</v>
      </c>
      <c r="I128" s="19"/>
    </row>
    <row r="129" spans="1:9">
      <c r="A129" s="14">
        <v>1</v>
      </c>
      <c r="B129" s="29" t="s">
        <v>287</v>
      </c>
      <c r="C129" t="s">
        <v>288</v>
      </c>
      <c r="E129" t="s">
        <v>25</v>
      </c>
      <c r="F129" s="17">
        <v>45968</v>
      </c>
      <c r="G129" s="19">
        <v>0.70833333333333337</v>
      </c>
      <c r="H129" s="19">
        <v>0.70833333333333337</v>
      </c>
      <c r="I129" s="19"/>
    </row>
    <row r="130" spans="1:9">
      <c r="A130" s="14">
        <v>1</v>
      </c>
      <c r="B130" s="29" t="s">
        <v>277</v>
      </c>
      <c r="C130" t="s">
        <v>289</v>
      </c>
      <c r="E130" t="s">
        <v>50</v>
      </c>
      <c r="F130" s="17">
        <v>45968</v>
      </c>
      <c r="G130" s="19">
        <v>0.70833333333333337</v>
      </c>
      <c r="H130" s="19">
        <v>0.70833333333333337</v>
      </c>
      <c r="I130" s="19">
        <f>H130-G130</f>
        <v>0</v>
      </c>
    </row>
    <row r="131" spans="1:9">
      <c r="A131" s="14">
        <v>1</v>
      </c>
      <c r="B131" s="29" t="s">
        <v>279</v>
      </c>
      <c r="C131" t="s">
        <v>290</v>
      </c>
      <c r="E131" t="s">
        <v>50</v>
      </c>
      <c r="F131" s="17">
        <v>45968</v>
      </c>
      <c r="G131" s="19">
        <v>0.70833333333333337</v>
      </c>
      <c r="H131" s="19">
        <v>0.70833333333333337</v>
      </c>
      <c r="I131" s="19"/>
    </row>
    <row r="132" spans="1:9">
      <c r="A132" s="14">
        <v>1</v>
      </c>
      <c r="B132" s="28" t="s">
        <v>291</v>
      </c>
      <c r="C132" s="13" t="s">
        <v>292</v>
      </c>
      <c r="E132" t="s">
        <v>40</v>
      </c>
      <c r="I132" s="19"/>
    </row>
    <row r="133" spans="1:9">
      <c r="A133" s="14">
        <f>AVERAGE(A134:A160)</f>
        <v>0.92592592592592593</v>
      </c>
      <c r="B133" s="28">
        <v>3.3</v>
      </c>
      <c r="C133" s="13" t="s">
        <v>293</v>
      </c>
      <c r="E133" t="s">
        <v>50</v>
      </c>
      <c r="I133" s="19">
        <f>H133-G133</f>
        <v>0</v>
      </c>
    </row>
    <row r="134" spans="1:9">
      <c r="A134" s="14">
        <v>1</v>
      </c>
      <c r="B134" s="28" t="s">
        <v>294</v>
      </c>
      <c r="C134" s="13" t="s">
        <v>295</v>
      </c>
      <c r="E134" t="s">
        <v>50</v>
      </c>
      <c r="F134" s="17">
        <v>45969</v>
      </c>
      <c r="G134" s="19">
        <v>0.625</v>
      </c>
      <c r="H134" s="19">
        <v>0.625</v>
      </c>
      <c r="I134" s="19">
        <f>H134-G134</f>
        <v>0</v>
      </c>
    </row>
    <row r="135" spans="1:9">
      <c r="A135" s="14">
        <v>1</v>
      </c>
      <c r="B135" s="29" t="s">
        <v>296</v>
      </c>
      <c r="C135" t="s">
        <v>297</v>
      </c>
      <c r="E135" t="s">
        <v>50</v>
      </c>
      <c r="F135" s="17">
        <v>45969</v>
      </c>
      <c r="G135" s="19">
        <v>0.625</v>
      </c>
      <c r="H135" s="19">
        <v>0.625</v>
      </c>
      <c r="I135" s="19"/>
    </row>
    <row r="136" spans="1:9">
      <c r="A136" s="14">
        <v>0</v>
      </c>
      <c r="B136" s="29" t="s">
        <v>298</v>
      </c>
      <c r="C136" s="13" t="s">
        <v>299</v>
      </c>
      <c r="E136" t="s">
        <v>50</v>
      </c>
      <c r="F136" s="17">
        <v>45969</v>
      </c>
      <c r="G136" s="19">
        <v>0.625</v>
      </c>
      <c r="H136" s="19">
        <v>0.625</v>
      </c>
      <c r="I136" s="19">
        <f>H136-G136</f>
        <v>0</v>
      </c>
    </row>
    <row r="137" spans="1:9">
      <c r="A137" s="14">
        <v>1</v>
      </c>
      <c r="B137" s="29" t="s">
        <v>300</v>
      </c>
      <c r="C137" t="s">
        <v>301</v>
      </c>
      <c r="E137" t="s">
        <v>50</v>
      </c>
      <c r="F137" s="17">
        <v>45969</v>
      </c>
      <c r="G137" s="19">
        <v>0.625</v>
      </c>
      <c r="H137" s="19">
        <v>0.625</v>
      </c>
      <c r="I137" s="19"/>
    </row>
    <row r="138" spans="1:9">
      <c r="A138" s="14">
        <v>1</v>
      </c>
      <c r="B138" s="29" t="s">
        <v>302</v>
      </c>
      <c r="C138" t="s">
        <v>303</v>
      </c>
      <c r="E138" t="s">
        <v>50</v>
      </c>
      <c r="F138" s="17">
        <v>45969</v>
      </c>
      <c r="G138" s="19">
        <v>0.625</v>
      </c>
      <c r="H138" s="19">
        <v>0.625</v>
      </c>
      <c r="I138" s="19"/>
    </row>
    <row r="139" spans="1:9">
      <c r="A139" s="14">
        <v>1</v>
      </c>
      <c r="B139" s="29" t="s">
        <v>304</v>
      </c>
      <c r="C139" t="s">
        <v>305</v>
      </c>
      <c r="E139" t="s">
        <v>50</v>
      </c>
      <c r="F139" s="17">
        <v>45969</v>
      </c>
      <c r="G139" s="19">
        <v>0.625</v>
      </c>
      <c r="H139" s="19">
        <v>0.625</v>
      </c>
      <c r="I139" s="19"/>
    </row>
    <row r="140" spans="1:9">
      <c r="A140" s="14">
        <v>1</v>
      </c>
      <c r="B140" s="29" t="s">
        <v>306</v>
      </c>
      <c r="C140" t="s">
        <v>307</v>
      </c>
      <c r="E140" t="s">
        <v>50</v>
      </c>
      <c r="F140" s="17">
        <v>45969</v>
      </c>
      <c r="G140" s="19">
        <v>0.625</v>
      </c>
      <c r="H140" s="19">
        <v>0.625</v>
      </c>
      <c r="I140" s="19"/>
    </row>
    <row r="141" spans="1:9">
      <c r="A141" s="14">
        <v>1</v>
      </c>
      <c r="B141" s="29" t="s">
        <v>308</v>
      </c>
      <c r="C141" t="s">
        <v>309</v>
      </c>
      <c r="E141" t="s">
        <v>50</v>
      </c>
      <c r="F141" s="17">
        <v>45969</v>
      </c>
      <c r="G141" s="19">
        <v>0.625</v>
      </c>
      <c r="H141" s="19">
        <v>0.625</v>
      </c>
      <c r="I141" s="19"/>
    </row>
    <row r="142" spans="1:9">
      <c r="A142" s="14">
        <v>0</v>
      </c>
      <c r="B142" s="29" t="s">
        <v>310</v>
      </c>
      <c r="C142" t="s">
        <v>311</v>
      </c>
      <c r="E142" t="s">
        <v>50</v>
      </c>
      <c r="F142" s="17">
        <v>45969</v>
      </c>
      <c r="G142" s="19">
        <v>0.625</v>
      </c>
      <c r="H142" s="19">
        <v>0.625</v>
      </c>
      <c r="I142" s="19"/>
    </row>
    <row r="143" spans="1:9">
      <c r="A143" s="14">
        <v>1</v>
      </c>
      <c r="B143" s="29" t="s">
        <v>312</v>
      </c>
      <c r="C143" t="s">
        <v>313</v>
      </c>
      <c r="E143" t="s">
        <v>50</v>
      </c>
      <c r="F143" s="17">
        <v>45969</v>
      </c>
      <c r="G143" s="19">
        <v>0.625</v>
      </c>
      <c r="H143" s="19">
        <v>0.625</v>
      </c>
      <c r="I143" s="19"/>
    </row>
    <row r="144" spans="1:9">
      <c r="A144" s="14">
        <v>1</v>
      </c>
      <c r="B144" s="29" t="s">
        <v>314</v>
      </c>
      <c r="C144" t="s">
        <v>315</v>
      </c>
      <c r="E144" t="s">
        <v>50</v>
      </c>
      <c r="F144" s="17">
        <v>45969</v>
      </c>
      <c r="G144" s="19">
        <v>0.625</v>
      </c>
      <c r="H144" s="19">
        <v>0.625</v>
      </c>
      <c r="I144" s="19"/>
    </row>
    <row r="145" spans="1:10">
      <c r="A145" s="14">
        <v>1</v>
      </c>
      <c r="B145" s="29" t="s">
        <v>316</v>
      </c>
      <c r="C145" t="s">
        <v>317</v>
      </c>
      <c r="E145" t="s">
        <v>50</v>
      </c>
      <c r="F145" s="17">
        <v>45969</v>
      </c>
      <c r="G145" s="19">
        <v>0.625</v>
      </c>
      <c r="H145" s="19">
        <v>0.625</v>
      </c>
      <c r="I145" s="19"/>
    </row>
    <row r="146" spans="1:10">
      <c r="A146" s="14">
        <v>1</v>
      </c>
      <c r="B146" s="29" t="s">
        <v>318</v>
      </c>
      <c r="C146" t="s">
        <v>319</v>
      </c>
      <c r="E146" t="s">
        <v>50</v>
      </c>
      <c r="F146" s="17">
        <v>45969</v>
      </c>
      <c r="G146" s="19">
        <v>0.625</v>
      </c>
      <c r="H146" s="19">
        <v>0.625</v>
      </c>
      <c r="I146" s="19"/>
    </row>
    <row r="147" spans="1:10">
      <c r="A147" s="14">
        <v>1</v>
      </c>
      <c r="B147" s="29" t="s">
        <v>320</v>
      </c>
      <c r="C147" t="s">
        <v>321</v>
      </c>
      <c r="E147" t="s">
        <v>50</v>
      </c>
      <c r="F147" s="17">
        <v>45969</v>
      </c>
      <c r="G147" s="19">
        <v>0.625</v>
      </c>
      <c r="H147" s="19">
        <v>0.625</v>
      </c>
      <c r="I147" s="19"/>
    </row>
    <row r="148" spans="1:10">
      <c r="A148" s="14">
        <v>1</v>
      </c>
      <c r="B148" s="29" t="s">
        <v>322</v>
      </c>
      <c r="C148" t="s">
        <v>323</v>
      </c>
      <c r="E148" t="s">
        <v>50</v>
      </c>
      <c r="F148" s="17">
        <v>45969</v>
      </c>
      <c r="G148" s="19">
        <v>0.625</v>
      </c>
      <c r="H148" s="19">
        <v>0.625</v>
      </c>
      <c r="I148" s="19"/>
    </row>
    <row r="149" spans="1:10">
      <c r="A149" s="14">
        <v>1</v>
      </c>
      <c r="B149" s="29" t="s">
        <v>324</v>
      </c>
      <c r="C149" t="s">
        <v>325</v>
      </c>
      <c r="E149" t="s">
        <v>50</v>
      </c>
      <c r="F149" s="17">
        <v>45969</v>
      </c>
      <c r="G149" s="19">
        <v>0.625</v>
      </c>
      <c r="H149" s="19">
        <v>0.625</v>
      </c>
      <c r="I149" s="19"/>
    </row>
    <row r="150" spans="1:10">
      <c r="A150" s="14">
        <v>1</v>
      </c>
      <c r="B150" s="29" t="s">
        <v>326</v>
      </c>
      <c r="C150" t="s">
        <v>327</v>
      </c>
      <c r="E150" t="s">
        <v>50</v>
      </c>
      <c r="F150" s="17">
        <v>45969</v>
      </c>
      <c r="G150" s="19">
        <v>0.625</v>
      </c>
      <c r="H150" s="19">
        <v>0.625</v>
      </c>
      <c r="I150" s="19"/>
    </row>
    <row r="151" spans="1:10">
      <c r="A151" s="14">
        <v>1</v>
      </c>
      <c r="B151" s="29" t="s">
        <v>328</v>
      </c>
      <c r="C151" t="s">
        <v>329</v>
      </c>
      <c r="E151" t="s">
        <v>50</v>
      </c>
      <c r="F151" s="17">
        <v>45969</v>
      </c>
      <c r="G151" s="19">
        <v>0.625</v>
      </c>
      <c r="H151" s="19">
        <v>0.625</v>
      </c>
      <c r="I151" s="19"/>
    </row>
    <row r="152" spans="1:10">
      <c r="A152" s="14">
        <v>1</v>
      </c>
      <c r="B152" s="29" t="s">
        <v>330</v>
      </c>
      <c r="C152" t="s">
        <v>331</v>
      </c>
      <c r="E152" t="s">
        <v>50</v>
      </c>
      <c r="F152" s="17">
        <v>45969</v>
      </c>
      <c r="G152" s="19">
        <v>0.625</v>
      </c>
      <c r="H152" s="19">
        <v>0.625</v>
      </c>
      <c r="I152" s="19"/>
    </row>
    <row r="153" spans="1:10">
      <c r="A153" s="14">
        <v>1</v>
      </c>
      <c r="B153" s="29" t="s">
        <v>332</v>
      </c>
      <c r="C153" t="s">
        <v>333</v>
      </c>
      <c r="E153" t="s">
        <v>50</v>
      </c>
      <c r="F153" s="17">
        <v>45969</v>
      </c>
      <c r="G153" s="19">
        <v>0.625</v>
      </c>
      <c r="H153" s="19">
        <v>0.625</v>
      </c>
      <c r="I153" s="19"/>
    </row>
    <row r="154" spans="1:10">
      <c r="A154" s="14">
        <v>1</v>
      </c>
      <c r="B154" s="29" t="s">
        <v>334</v>
      </c>
      <c r="C154" t="s">
        <v>335</v>
      </c>
      <c r="E154" t="s">
        <v>50</v>
      </c>
      <c r="F154" s="17">
        <v>45969</v>
      </c>
      <c r="G154" s="19">
        <v>0.625</v>
      </c>
      <c r="H154" s="19">
        <v>0.625</v>
      </c>
      <c r="I154" s="19"/>
    </row>
    <row r="155" spans="1:10">
      <c r="A155" s="14">
        <v>1</v>
      </c>
      <c r="B155" s="29" t="s">
        <v>336</v>
      </c>
      <c r="C155" t="s">
        <v>337</v>
      </c>
      <c r="E155" t="s">
        <v>50</v>
      </c>
      <c r="F155" s="17">
        <v>45969</v>
      </c>
      <c r="G155" s="19">
        <v>0.625</v>
      </c>
      <c r="H155" s="19">
        <v>0.625</v>
      </c>
      <c r="I155" s="19">
        <f>H155-G155</f>
        <v>0</v>
      </c>
    </row>
    <row r="156" spans="1:10">
      <c r="A156" s="14">
        <v>1</v>
      </c>
      <c r="B156" s="29" t="s">
        <v>338</v>
      </c>
      <c r="C156" t="s">
        <v>339</v>
      </c>
      <c r="E156" t="s">
        <v>50</v>
      </c>
      <c r="F156" s="17">
        <v>45969</v>
      </c>
      <c r="G156" s="19">
        <v>0.625</v>
      </c>
      <c r="H156" s="19">
        <v>0.625</v>
      </c>
      <c r="I156" s="19"/>
    </row>
    <row r="157" spans="1:10">
      <c r="A157" s="14">
        <v>1</v>
      </c>
      <c r="B157" s="29" t="s">
        <v>340</v>
      </c>
      <c r="C157" t="s">
        <v>341</v>
      </c>
      <c r="E157" t="s">
        <v>50</v>
      </c>
      <c r="F157" s="17">
        <v>45969</v>
      </c>
      <c r="G157" s="19">
        <v>0.625</v>
      </c>
      <c r="H157" s="19">
        <v>0.625</v>
      </c>
      <c r="I157" s="19"/>
    </row>
    <row r="158" spans="1:10">
      <c r="A158" s="14">
        <v>1</v>
      </c>
      <c r="B158" s="29" t="s">
        <v>342</v>
      </c>
      <c r="C158" s="47" t="s">
        <v>343</v>
      </c>
      <c r="D158" s="47"/>
      <c r="E158" s="47" t="s">
        <v>50</v>
      </c>
      <c r="F158" s="48">
        <v>45969</v>
      </c>
      <c r="G158" s="49">
        <v>0.625</v>
      </c>
      <c r="H158" s="49">
        <v>0.625</v>
      </c>
      <c r="I158" s="49">
        <f>H158-G158</f>
        <v>0</v>
      </c>
      <c r="J158" t="s">
        <v>344</v>
      </c>
    </row>
    <row r="159" spans="1:10">
      <c r="A159" s="14">
        <v>1</v>
      </c>
      <c r="B159" s="29" t="s">
        <v>345</v>
      </c>
      <c r="C159" t="s">
        <v>346</v>
      </c>
      <c r="E159" t="s">
        <v>347</v>
      </c>
      <c r="F159" s="17">
        <v>45969</v>
      </c>
      <c r="G159" s="19">
        <v>0.625</v>
      </c>
      <c r="H159" s="19">
        <v>0.625</v>
      </c>
      <c r="I159" s="19">
        <f>H159-G159</f>
        <v>0</v>
      </c>
    </row>
    <row r="160" spans="1:10">
      <c r="A160" s="14">
        <v>1</v>
      </c>
      <c r="B160" s="29" t="s">
        <v>348</v>
      </c>
      <c r="C160" t="s">
        <v>349</v>
      </c>
      <c r="E160" t="s">
        <v>350</v>
      </c>
      <c r="F160" s="17">
        <v>45969</v>
      </c>
      <c r="G160" s="19">
        <v>0.625</v>
      </c>
      <c r="H160" s="19">
        <v>0.625</v>
      </c>
      <c r="I160" s="19">
        <f>H160-G160</f>
        <v>0</v>
      </c>
    </row>
    <row r="161" spans="1:9">
      <c r="A161" s="14">
        <f>AVERAGE(A162:A185)</f>
        <v>0.99522569444444453</v>
      </c>
      <c r="B161" s="28">
        <v>3.4</v>
      </c>
      <c r="C161" s="13" t="s">
        <v>351</v>
      </c>
      <c r="I161" s="19">
        <f>H161-G161</f>
        <v>0</v>
      </c>
    </row>
    <row r="162" spans="1:9">
      <c r="A162" s="14">
        <f>AVERAGE(A163:A170)</f>
        <v>0.99375000000000002</v>
      </c>
      <c r="B162" s="28" t="s">
        <v>352</v>
      </c>
      <c r="C162" s="13" t="s">
        <v>353</v>
      </c>
      <c r="I162" s="19">
        <f>H162-G162</f>
        <v>0</v>
      </c>
    </row>
    <row r="163" spans="1:9">
      <c r="A163" s="14">
        <v>1</v>
      </c>
      <c r="B163" s="29" t="s">
        <v>354</v>
      </c>
      <c r="C163" t="s">
        <v>355</v>
      </c>
      <c r="E163" t="s">
        <v>347</v>
      </c>
      <c r="F163" s="17">
        <v>45969</v>
      </c>
      <c r="G163" s="19">
        <v>0.625</v>
      </c>
      <c r="H163" s="19">
        <v>0.625</v>
      </c>
      <c r="I163" s="19"/>
    </row>
    <row r="164" spans="1:9">
      <c r="A164" s="14">
        <v>0.95</v>
      </c>
      <c r="B164" s="29" t="s">
        <v>356</v>
      </c>
      <c r="C164" t="s">
        <v>357</v>
      </c>
      <c r="E164" t="s">
        <v>50</v>
      </c>
      <c r="F164" s="17">
        <v>45969</v>
      </c>
      <c r="G164" s="19">
        <v>0.625</v>
      </c>
      <c r="H164" s="19">
        <v>0.625</v>
      </c>
      <c r="I164" s="19"/>
    </row>
    <row r="165" spans="1:9">
      <c r="A165" s="14">
        <v>1</v>
      </c>
      <c r="B165" s="29" t="s">
        <v>358</v>
      </c>
      <c r="C165" t="s">
        <v>359</v>
      </c>
      <c r="E165" t="s">
        <v>360</v>
      </c>
      <c r="F165" s="17">
        <v>45969</v>
      </c>
      <c r="G165" s="19">
        <v>0.625</v>
      </c>
      <c r="H165" s="19">
        <v>0.625</v>
      </c>
      <c r="I165" s="19"/>
    </row>
    <row r="166" spans="1:9">
      <c r="A166" s="14">
        <v>1</v>
      </c>
      <c r="B166" s="29" t="s">
        <v>361</v>
      </c>
      <c r="C166" t="s">
        <v>362</v>
      </c>
      <c r="E166" t="s">
        <v>363</v>
      </c>
      <c r="F166" s="17">
        <v>45969</v>
      </c>
      <c r="G166" s="19">
        <v>0.625</v>
      </c>
      <c r="H166" s="19">
        <v>0.625</v>
      </c>
      <c r="I166" s="19"/>
    </row>
    <row r="167" spans="1:9">
      <c r="A167" s="14">
        <v>1</v>
      </c>
      <c r="B167" s="29" t="s">
        <v>364</v>
      </c>
      <c r="C167" t="s">
        <v>365</v>
      </c>
      <c r="E167" t="s">
        <v>50</v>
      </c>
      <c r="F167" s="17">
        <v>45969</v>
      </c>
      <c r="G167" s="19">
        <v>0.625</v>
      </c>
      <c r="H167" s="19">
        <v>0.625</v>
      </c>
      <c r="I167" s="19"/>
    </row>
    <row r="168" spans="1:9">
      <c r="A168" s="14">
        <v>1</v>
      </c>
      <c r="B168" s="29" t="s">
        <v>366</v>
      </c>
      <c r="C168" t="s">
        <v>367</v>
      </c>
      <c r="E168" t="s">
        <v>116</v>
      </c>
      <c r="F168" s="17">
        <v>45969</v>
      </c>
      <c r="G168" s="19">
        <v>0.70833333333333337</v>
      </c>
      <c r="H168" s="19">
        <v>0.71875</v>
      </c>
      <c r="I168" s="19">
        <f>H168-G168</f>
        <v>1.041666666666663E-2</v>
      </c>
    </row>
    <row r="169" spans="1:9">
      <c r="A169" s="14">
        <v>1</v>
      </c>
      <c r="B169" s="29" t="s">
        <v>368</v>
      </c>
      <c r="C169" t="s">
        <v>369</v>
      </c>
      <c r="E169" t="s">
        <v>22</v>
      </c>
      <c r="F169" s="17">
        <v>45969</v>
      </c>
      <c r="G169" s="19">
        <v>0.625</v>
      </c>
      <c r="H169" s="19">
        <v>0.625</v>
      </c>
      <c r="I169" s="19"/>
    </row>
    <row r="170" spans="1:9">
      <c r="A170" s="14">
        <v>1</v>
      </c>
      <c r="B170" s="29" t="s">
        <v>370</v>
      </c>
      <c r="C170" t="s">
        <v>371</v>
      </c>
      <c r="E170" t="s">
        <v>22</v>
      </c>
      <c r="F170" s="17">
        <v>45970</v>
      </c>
      <c r="I170" s="19"/>
    </row>
    <row r="171" spans="1:9">
      <c r="A171" s="14">
        <f>AVERAGE(A172:A174)</f>
        <v>1</v>
      </c>
      <c r="B171" s="28" t="s">
        <v>372</v>
      </c>
      <c r="C171" s="13" t="s">
        <v>373</v>
      </c>
      <c r="I171" s="19"/>
    </row>
    <row r="172" spans="1:9">
      <c r="A172" s="14">
        <v>1</v>
      </c>
      <c r="B172" s="29" t="s">
        <v>374</v>
      </c>
      <c r="C172" t="s">
        <v>375</v>
      </c>
      <c r="E172" t="s">
        <v>101</v>
      </c>
      <c r="F172" s="17">
        <v>45970</v>
      </c>
      <c r="G172" s="19">
        <v>0.375</v>
      </c>
      <c r="H172" s="19">
        <v>0.39583333333333331</v>
      </c>
      <c r="I172" s="19"/>
    </row>
    <row r="173" spans="1:9">
      <c r="A173" s="14">
        <v>1</v>
      </c>
      <c r="B173" s="29" t="s">
        <v>376</v>
      </c>
      <c r="C173" t="s">
        <v>377</v>
      </c>
      <c r="E173" t="s">
        <v>147</v>
      </c>
      <c r="F173" s="17">
        <v>45970</v>
      </c>
      <c r="G173" s="19">
        <v>0.375</v>
      </c>
      <c r="H173" s="19">
        <v>0.39583333333333331</v>
      </c>
      <c r="I173" s="19"/>
    </row>
    <row r="174" spans="1:9">
      <c r="A174" s="14">
        <v>1</v>
      </c>
      <c r="B174" s="29" t="s">
        <v>378</v>
      </c>
      <c r="C174" t="s">
        <v>379</v>
      </c>
      <c r="E174" t="s">
        <v>147</v>
      </c>
      <c r="F174" s="17">
        <v>45970</v>
      </c>
      <c r="G174" s="19">
        <v>0.375</v>
      </c>
      <c r="H174" s="19">
        <v>0.39583333333333331</v>
      </c>
      <c r="I174" s="19"/>
    </row>
    <row r="175" spans="1:9">
      <c r="A175" s="14">
        <v>1</v>
      </c>
      <c r="B175" s="28" t="s">
        <v>380</v>
      </c>
      <c r="C175" s="13" t="s">
        <v>381</v>
      </c>
      <c r="I175" s="19"/>
    </row>
    <row r="176" spans="1:9">
      <c r="A176" s="14">
        <v>1</v>
      </c>
      <c r="B176" s="28" t="s">
        <v>382</v>
      </c>
      <c r="C176" s="13" t="s">
        <v>383</v>
      </c>
      <c r="I176" s="19"/>
    </row>
    <row r="177" spans="1:9">
      <c r="A177" s="14">
        <f>AVERAGE(A178:A183)</f>
        <v>0.9916666666666667</v>
      </c>
      <c r="B177" s="28" t="s">
        <v>384</v>
      </c>
      <c r="C177" s="13" t="s">
        <v>385</v>
      </c>
      <c r="I177" s="19"/>
    </row>
    <row r="178" spans="1:9">
      <c r="A178" s="14">
        <v>1</v>
      </c>
      <c r="B178" s="29" t="s">
        <v>386</v>
      </c>
      <c r="C178" s="110" t="s">
        <v>387</v>
      </c>
      <c r="E178" t="s">
        <v>116</v>
      </c>
      <c r="F178" s="17">
        <v>45969</v>
      </c>
      <c r="G178" s="19">
        <v>0.71875</v>
      </c>
      <c r="H178" s="19">
        <v>0.72569444444444442</v>
      </c>
      <c r="I178" s="19"/>
    </row>
    <row r="179" spans="1:9">
      <c r="A179" s="14">
        <v>1</v>
      </c>
      <c r="B179" s="29" t="s">
        <v>388</v>
      </c>
      <c r="C179" s="110" t="s">
        <v>389</v>
      </c>
      <c r="E179" t="s">
        <v>116</v>
      </c>
      <c r="F179" s="17">
        <v>45969</v>
      </c>
      <c r="G179" s="19">
        <v>0.72569444444444442</v>
      </c>
      <c r="H179" s="19">
        <v>0.73263888888888884</v>
      </c>
      <c r="I179" s="19"/>
    </row>
    <row r="180" spans="1:9">
      <c r="A180" s="14">
        <v>1</v>
      </c>
      <c r="B180" s="29" t="s">
        <v>390</v>
      </c>
      <c r="C180" s="111" t="s">
        <v>391</v>
      </c>
      <c r="E180" t="s">
        <v>116</v>
      </c>
      <c r="F180" s="17">
        <v>45969</v>
      </c>
      <c r="G180" s="19">
        <v>0.73263888888888884</v>
      </c>
      <c r="H180" s="19">
        <v>0.73958333333333337</v>
      </c>
      <c r="I180" s="19"/>
    </row>
    <row r="181" spans="1:9">
      <c r="A181" s="14">
        <v>1</v>
      </c>
      <c r="B181" s="29" t="s">
        <v>392</v>
      </c>
      <c r="C181" t="s">
        <v>393</v>
      </c>
      <c r="E181" t="s">
        <v>120</v>
      </c>
      <c r="F181" s="17">
        <v>45969</v>
      </c>
      <c r="G181" s="19">
        <v>0.79166666666666663</v>
      </c>
      <c r="I181" s="19">
        <v>6.9444444444444441E-3</v>
      </c>
    </row>
    <row r="182" spans="1:9">
      <c r="A182" s="14">
        <v>0.95</v>
      </c>
      <c r="B182" s="29" t="s">
        <v>394</v>
      </c>
      <c r="C182" t="s">
        <v>395</v>
      </c>
      <c r="E182" t="s">
        <v>120</v>
      </c>
      <c r="F182" s="17">
        <v>45969</v>
      </c>
      <c r="G182" s="19">
        <v>0.79166666666666663</v>
      </c>
      <c r="I182" s="19">
        <v>4.1666666666666664E-2</v>
      </c>
    </row>
    <row r="183" spans="1:9">
      <c r="A183" s="14">
        <v>1</v>
      </c>
      <c r="B183" s="29" t="s">
        <v>396</v>
      </c>
      <c r="C183" t="s">
        <v>397</v>
      </c>
      <c r="E183" t="s">
        <v>120</v>
      </c>
      <c r="F183" s="17">
        <v>45969</v>
      </c>
      <c r="G183" s="19">
        <v>0.79166666666666663</v>
      </c>
      <c r="I183" s="19">
        <v>1.0416666666666666E-2</v>
      </c>
    </row>
    <row r="184" spans="1:9">
      <c r="A184" s="14">
        <v>1</v>
      </c>
      <c r="B184" s="28" t="s">
        <v>398</v>
      </c>
      <c r="C184" s="13" t="s">
        <v>399</v>
      </c>
      <c r="I184" s="19">
        <f>H184-G184</f>
        <v>0</v>
      </c>
    </row>
    <row r="185" spans="1:9">
      <c r="A185" s="14">
        <v>1</v>
      </c>
      <c r="B185" s="29" t="s">
        <v>400</v>
      </c>
      <c r="C185" t="s">
        <v>401</v>
      </c>
      <c r="E185" t="s">
        <v>18</v>
      </c>
      <c r="I185" s="19">
        <f>H185-G185</f>
        <v>0</v>
      </c>
    </row>
    <row r="186" spans="1:9">
      <c r="A186" s="14">
        <v>1</v>
      </c>
      <c r="B186" s="29" t="s">
        <v>402</v>
      </c>
      <c r="C186" t="s">
        <v>403</v>
      </c>
      <c r="E186" t="s">
        <v>13</v>
      </c>
      <c r="I186" s="19">
        <f>H186-G186</f>
        <v>0</v>
      </c>
    </row>
    <row r="187" spans="1:9">
      <c r="A187" s="14">
        <v>1</v>
      </c>
      <c r="B187" s="28" t="s">
        <v>404</v>
      </c>
      <c r="C187" s="13" t="s">
        <v>405</v>
      </c>
      <c r="I187" s="19"/>
    </row>
    <row r="188" spans="1:9">
      <c r="A188" s="14">
        <v>1</v>
      </c>
      <c r="B188" s="29" t="s">
        <v>406</v>
      </c>
      <c r="C188" t="s">
        <v>407</v>
      </c>
      <c r="E188" t="s">
        <v>50</v>
      </c>
      <c r="F188" s="17">
        <v>45970</v>
      </c>
      <c r="G188" s="19">
        <v>0.45833333333333331</v>
      </c>
      <c r="H188" s="19">
        <v>0.45833333333333331</v>
      </c>
      <c r="I188" s="19"/>
    </row>
    <row r="189" spans="1:9">
      <c r="A189" s="14">
        <v>1</v>
      </c>
      <c r="B189" s="29" t="s">
        <v>408</v>
      </c>
      <c r="C189" t="s">
        <v>409</v>
      </c>
      <c r="E189" t="s">
        <v>13</v>
      </c>
      <c r="F189" s="17">
        <v>45970</v>
      </c>
      <c r="G189" s="19">
        <v>0.45833333333333331</v>
      </c>
      <c r="H189" s="19">
        <v>0.45833333333333331</v>
      </c>
      <c r="I189" s="19"/>
    </row>
    <row r="190" spans="1:9">
      <c r="A190" s="14">
        <v>1</v>
      </c>
      <c r="B190" s="29" t="s">
        <v>410</v>
      </c>
      <c r="C190" t="s">
        <v>411</v>
      </c>
      <c r="E190" t="s">
        <v>50</v>
      </c>
      <c r="F190" s="17">
        <v>45970</v>
      </c>
      <c r="G190" s="19">
        <v>0.45833333333333331</v>
      </c>
      <c r="H190" s="19">
        <v>0.45833333333333331</v>
      </c>
      <c r="I190" s="19"/>
    </row>
    <row r="191" spans="1:9" s="25" customFormat="1" ht="15.95">
      <c r="A191" s="20">
        <f>AVERAGE(A192:A258)</f>
        <v>0.64715324976945932</v>
      </c>
      <c r="B191" s="27">
        <v>4</v>
      </c>
      <c r="C191" s="21" t="s">
        <v>412</v>
      </c>
      <c r="D191" s="22"/>
      <c r="E191" s="22"/>
      <c r="F191" s="23"/>
      <c r="G191" s="24"/>
      <c r="H191" s="24"/>
      <c r="I191" s="24"/>
    </row>
    <row r="192" spans="1:9">
      <c r="A192" s="14">
        <f>AVERAGE(A193:A230)</f>
        <v>0.8810068649885584</v>
      </c>
      <c r="B192" s="28">
        <v>4.0999999999999996</v>
      </c>
      <c r="C192" s="13" t="s">
        <v>413</v>
      </c>
      <c r="I192" s="19">
        <f>H192-G192</f>
        <v>0</v>
      </c>
    </row>
    <row r="193" spans="1:9">
      <c r="A193" s="14">
        <f>AVERAGE(A194:A195)</f>
        <v>1</v>
      </c>
      <c r="B193" s="28" t="s">
        <v>414</v>
      </c>
      <c r="C193" s="13" t="s">
        <v>415</v>
      </c>
      <c r="I193" s="19">
        <f>H193-G193</f>
        <v>0</v>
      </c>
    </row>
    <row r="194" spans="1:9">
      <c r="A194" s="14">
        <v>1</v>
      </c>
      <c r="B194" s="29" t="s">
        <v>416</v>
      </c>
      <c r="C194" t="s">
        <v>417</v>
      </c>
      <c r="E194" t="s">
        <v>418</v>
      </c>
      <c r="F194" s="17">
        <v>45970</v>
      </c>
      <c r="G194" s="19">
        <v>0.375</v>
      </c>
      <c r="H194" s="19">
        <v>0.5</v>
      </c>
      <c r="I194" s="19"/>
    </row>
    <row r="195" spans="1:9">
      <c r="A195" s="14">
        <v>1</v>
      </c>
      <c r="B195" s="29" t="s">
        <v>419</v>
      </c>
      <c r="C195" t="s">
        <v>420</v>
      </c>
      <c r="E195" t="s">
        <v>153</v>
      </c>
      <c r="F195" s="17">
        <v>45970</v>
      </c>
      <c r="G195" s="19">
        <v>0.39583333333333331</v>
      </c>
      <c r="H195" s="19">
        <v>0.41666666666666669</v>
      </c>
      <c r="I195" s="19"/>
    </row>
    <row r="196" spans="1:9">
      <c r="A196" s="14">
        <v>0</v>
      </c>
      <c r="B196" s="28" t="s">
        <v>421</v>
      </c>
      <c r="C196" s="13" t="s">
        <v>422</v>
      </c>
      <c r="I196" s="19">
        <f>H196-G196</f>
        <v>0</v>
      </c>
    </row>
    <row r="197" spans="1:9">
      <c r="A197" s="14">
        <v>1</v>
      </c>
      <c r="B197" s="29" t="s">
        <v>423</v>
      </c>
      <c r="C197" t="s">
        <v>424</v>
      </c>
      <c r="E197" t="s">
        <v>107</v>
      </c>
      <c r="F197" s="17">
        <v>45970</v>
      </c>
      <c r="G197" s="19">
        <v>0.39583333333333331</v>
      </c>
      <c r="H197" s="19">
        <v>0.40625</v>
      </c>
      <c r="I197" s="19"/>
    </row>
    <row r="198" spans="1:9">
      <c r="A198" s="14">
        <v>1</v>
      </c>
      <c r="B198" s="29" t="s">
        <v>425</v>
      </c>
      <c r="C198" t="s">
        <v>426</v>
      </c>
      <c r="E198" t="s">
        <v>107</v>
      </c>
      <c r="F198" s="17">
        <v>45970</v>
      </c>
      <c r="G198" s="19">
        <v>0.40625</v>
      </c>
      <c r="H198" s="19">
        <v>0.44791666666666669</v>
      </c>
      <c r="I198" s="19"/>
    </row>
    <row r="199" spans="1:9">
      <c r="A199" s="14">
        <v>1</v>
      </c>
      <c r="B199" s="29" t="s">
        <v>427</v>
      </c>
      <c r="C199" t="s">
        <v>428</v>
      </c>
      <c r="E199" t="s">
        <v>107</v>
      </c>
      <c r="F199" s="17">
        <v>45970</v>
      </c>
      <c r="G199" s="19">
        <v>0.44791666666666669</v>
      </c>
      <c r="H199" s="19">
        <v>0.46875</v>
      </c>
      <c r="I199" s="19"/>
    </row>
    <row r="200" spans="1:9">
      <c r="A200" s="14">
        <v>1</v>
      </c>
      <c r="B200" s="29" t="s">
        <v>429</v>
      </c>
      <c r="C200" t="s">
        <v>430</v>
      </c>
      <c r="E200" t="s">
        <v>107</v>
      </c>
      <c r="F200" s="17">
        <v>45970</v>
      </c>
      <c r="G200" s="19">
        <v>0.46875</v>
      </c>
      <c r="H200" s="19">
        <v>0.48958333333333331</v>
      </c>
      <c r="I200" s="19"/>
    </row>
    <row r="201" spans="1:9">
      <c r="A201" s="14">
        <v>0</v>
      </c>
      <c r="B201" s="28" t="s">
        <v>431</v>
      </c>
      <c r="C201" s="13" t="s">
        <v>432</v>
      </c>
      <c r="I201" s="19">
        <f>H201-G201</f>
        <v>0</v>
      </c>
    </row>
    <row r="202" spans="1:9">
      <c r="A202" s="14">
        <v>1</v>
      </c>
      <c r="B202" s="29" t="s">
        <v>433</v>
      </c>
      <c r="C202" t="s">
        <v>434</v>
      </c>
      <c r="E202" t="s">
        <v>110</v>
      </c>
      <c r="I202" s="19"/>
    </row>
    <row r="203" spans="1:9">
      <c r="A203" s="14">
        <v>0</v>
      </c>
      <c r="B203" s="29" t="s">
        <v>435</v>
      </c>
      <c r="C203" t="s">
        <v>436</v>
      </c>
      <c r="E203" t="s">
        <v>110</v>
      </c>
      <c r="I203" s="19"/>
    </row>
    <row r="204" spans="1:9">
      <c r="A204" s="14">
        <v>1</v>
      </c>
      <c r="B204" s="29" t="s">
        <v>437</v>
      </c>
      <c r="C204" t="s">
        <v>438</v>
      </c>
      <c r="E204" t="s">
        <v>110</v>
      </c>
      <c r="I204" s="19"/>
    </row>
    <row r="205" spans="1:9">
      <c r="A205" s="14">
        <v>1</v>
      </c>
      <c r="B205" s="29" t="s">
        <v>439</v>
      </c>
      <c r="C205" t="s">
        <v>440</v>
      </c>
      <c r="E205" t="s">
        <v>110</v>
      </c>
      <c r="I205" s="19"/>
    </row>
    <row r="206" spans="1:9">
      <c r="A206" s="14">
        <f>AVERAGE(A207:A229)</f>
        <v>0.97826086956521741</v>
      </c>
      <c r="B206" s="28" t="s">
        <v>441</v>
      </c>
      <c r="C206" s="13" t="s">
        <v>442</v>
      </c>
      <c r="I206" s="19">
        <f>H206-G206</f>
        <v>0</v>
      </c>
    </row>
    <row r="207" spans="1:9">
      <c r="A207" s="14">
        <v>1</v>
      </c>
      <c r="B207" s="29" t="s">
        <v>443</v>
      </c>
      <c r="C207" t="s">
        <v>444</v>
      </c>
      <c r="E207" t="s">
        <v>116</v>
      </c>
      <c r="F207" s="17">
        <v>45969</v>
      </c>
      <c r="G207" s="19">
        <v>0.79166666666666663</v>
      </c>
      <c r="I207" s="19"/>
    </row>
    <row r="208" spans="1:9">
      <c r="A208" s="14">
        <v>1</v>
      </c>
      <c r="B208" s="29" t="s">
        <v>445</v>
      </c>
      <c r="C208" t="s">
        <v>446</v>
      </c>
      <c r="E208" t="s">
        <v>116</v>
      </c>
      <c r="F208" s="17">
        <v>45969</v>
      </c>
      <c r="G208" s="19">
        <v>0.79166666666666663</v>
      </c>
      <c r="I208" s="19"/>
    </row>
    <row r="209" spans="1:10">
      <c r="A209" s="14">
        <v>1</v>
      </c>
      <c r="B209" s="29" t="s">
        <v>447</v>
      </c>
      <c r="C209" t="s">
        <v>448</v>
      </c>
      <c r="D209" t="s">
        <v>449</v>
      </c>
      <c r="E209" t="s">
        <v>116</v>
      </c>
      <c r="F209" s="17">
        <v>45969</v>
      </c>
      <c r="G209" s="19">
        <v>0.79166666666666663</v>
      </c>
      <c r="I209" s="19"/>
    </row>
    <row r="210" spans="1:10">
      <c r="A210" s="14">
        <v>1</v>
      </c>
      <c r="B210" s="29" t="s">
        <v>450</v>
      </c>
      <c r="C210" t="s">
        <v>451</v>
      </c>
      <c r="E210" t="s">
        <v>116</v>
      </c>
      <c r="F210" s="17">
        <v>45969</v>
      </c>
      <c r="G210" s="19">
        <v>0.79166666666666663</v>
      </c>
      <c r="I210" s="19"/>
    </row>
    <row r="211" spans="1:10">
      <c r="A211" s="14">
        <v>1</v>
      </c>
      <c r="B211" s="29" t="s">
        <v>452</v>
      </c>
      <c r="C211" t="s">
        <v>453</v>
      </c>
      <c r="E211" t="s">
        <v>116</v>
      </c>
      <c r="F211" s="17">
        <v>45969</v>
      </c>
      <c r="G211" s="19">
        <v>0.79166666666666663</v>
      </c>
      <c r="I211" s="19"/>
    </row>
    <row r="212" spans="1:10">
      <c r="A212" s="14">
        <v>1</v>
      </c>
      <c r="B212" s="29" t="s">
        <v>454</v>
      </c>
      <c r="C212" s="109" t="s">
        <v>455</v>
      </c>
      <c r="E212" t="s">
        <v>116</v>
      </c>
      <c r="F212" s="17">
        <v>45969</v>
      </c>
      <c r="G212" s="19">
        <v>0.79166666666666663</v>
      </c>
      <c r="I212" s="19"/>
    </row>
    <row r="213" spans="1:10">
      <c r="A213" s="14">
        <v>1</v>
      </c>
      <c r="B213" s="29" t="s">
        <v>456</v>
      </c>
      <c r="C213" s="47" t="s">
        <v>457</v>
      </c>
      <c r="D213" s="34" t="s">
        <v>458</v>
      </c>
      <c r="E213" t="s">
        <v>116</v>
      </c>
      <c r="F213" s="17">
        <v>45969</v>
      </c>
      <c r="G213" s="19">
        <v>0.79166666666666663</v>
      </c>
      <c r="I213" s="19"/>
    </row>
    <row r="214" spans="1:10">
      <c r="A214" s="14">
        <v>1</v>
      </c>
      <c r="B214" s="29" t="s">
        <v>459</v>
      </c>
      <c r="C214" s="109" t="s">
        <v>460</v>
      </c>
      <c r="E214" t="s">
        <v>116</v>
      </c>
      <c r="F214" s="17">
        <v>45969</v>
      </c>
      <c r="G214" s="19">
        <v>0.79166666666666663</v>
      </c>
      <c r="I214" s="19"/>
    </row>
    <row r="215" spans="1:10">
      <c r="A215" s="14">
        <v>1</v>
      </c>
      <c r="B215" s="29" t="s">
        <v>461</v>
      </c>
      <c r="C215" s="65" t="s">
        <v>462</v>
      </c>
      <c r="D215" s="60"/>
      <c r="E215" s="60" t="s">
        <v>463</v>
      </c>
      <c r="F215" s="17">
        <v>45970</v>
      </c>
      <c r="G215" s="61">
        <v>0.52083333333333337</v>
      </c>
      <c r="H215" s="61"/>
      <c r="I215" s="19"/>
    </row>
    <row r="216" spans="1:10">
      <c r="A216" s="14">
        <v>1</v>
      </c>
      <c r="B216" s="29" t="s">
        <v>464</v>
      </c>
      <c r="C216" t="s">
        <v>465</v>
      </c>
      <c r="E216" t="s">
        <v>120</v>
      </c>
      <c r="F216" s="17">
        <v>45970</v>
      </c>
      <c r="I216" s="19"/>
    </row>
    <row r="217" spans="1:10">
      <c r="A217" s="14">
        <v>1</v>
      </c>
      <c r="B217" s="29" t="s">
        <v>466</v>
      </c>
      <c r="C217" t="s">
        <v>467</v>
      </c>
      <c r="E217" t="s">
        <v>120</v>
      </c>
      <c r="F217" s="17">
        <v>45970</v>
      </c>
      <c r="I217" s="19"/>
    </row>
    <row r="218" spans="1:10">
      <c r="A218" s="14">
        <v>1</v>
      </c>
      <c r="B218" s="29" t="s">
        <v>468</v>
      </c>
      <c r="C218" t="s">
        <v>469</v>
      </c>
      <c r="E218" t="s">
        <v>120</v>
      </c>
      <c r="F218" s="17">
        <v>45970</v>
      </c>
      <c r="I218" s="19"/>
    </row>
    <row r="219" spans="1:10">
      <c r="A219" s="14">
        <v>0.5</v>
      </c>
      <c r="B219" s="29" t="s">
        <v>470</v>
      </c>
      <c r="C219" s="89" t="s">
        <v>471</v>
      </c>
      <c r="E219" s="60" t="s">
        <v>142</v>
      </c>
      <c r="F219" s="17">
        <v>45970</v>
      </c>
      <c r="I219" s="19"/>
    </row>
    <row r="220" spans="1:10">
      <c r="A220" s="14">
        <v>1</v>
      </c>
      <c r="B220" s="29" t="s">
        <v>472</v>
      </c>
      <c r="C220" t="s">
        <v>473</v>
      </c>
      <c r="E220" t="s">
        <v>474</v>
      </c>
      <c r="F220" s="17">
        <v>45970</v>
      </c>
      <c r="I220" s="19"/>
      <c r="J220" t="s">
        <v>475</v>
      </c>
    </row>
    <row r="221" spans="1:10">
      <c r="A221" s="14">
        <v>1</v>
      </c>
      <c r="B221" s="29" t="s">
        <v>476</v>
      </c>
      <c r="C221" t="s">
        <v>477</v>
      </c>
      <c r="E221" t="s">
        <v>474</v>
      </c>
      <c r="F221" s="17">
        <v>45970</v>
      </c>
      <c r="I221" s="19"/>
    </row>
    <row r="222" spans="1:10">
      <c r="A222" s="14">
        <v>1</v>
      </c>
      <c r="B222" s="29" t="s">
        <v>478</v>
      </c>
      <c r="C222" t="s">
        <v>479</v>
      </c>
      <c r="E222" t="s">
        <v>474</v>
      </c>
      <c r="F222" s="17">
        <v>45970</v>
      </c>
      <c r="I222" s="19"/>
    </row>
    <row r="223" spans="1:10">
      <c r="A223" s="14">
        <v>1</v>
      </c>
      <c r="B223" s="29" t="s">
        <v>480</v>
      </c>
      <c r="C223" t="s">
        <v>481</v>
      </c>
      <c r="E223" t="s">
        <v>474</v>
      </c>
      <c r="F223" s="17">
        <v>45971</v>
      </c>
      <c r="I223" s="19"/>
      <c r="J223" t="s">
        <v>482</v>
      </c>
    </row>
    <row r="224" spans="1:10">
      <c r="A224" s="14">
        <v>1</v>
      </c>
      <c r="B224" s="29" t="s">
        <v>483</v>
      </c>
      <c r="C224" t="s">
        <v>484</v>
      </c>
      <c r="D224" t="s">
        <v>485</v>
      </c>
      <c r="E224" t="s">
        <v>116</v>
      </c>
      <c r="F224" s="17">
        <v>45970</v>
      </c>
      <c r="I224" s="19"/>
    </row>
    <row r="225" spans="1:9">
      <c r="A225" s="14">
        <v>1</v>
      </c>
      <c r="B225" s="29" t="s">
        <v>486</v>
      </c>
      <c r="C225" s="60" t="s">
        <v>487</v>
      </c>
      <c r="E225" s="60" t="s">
        <v>142</v>
      </c>
      <c r="F225" s="17">
        <v>45970</v>
      </c>
      <c r="I225" s="19"/>
    </row>
    <row r="226" spans="1:9">
      <c r="A226" s="14">
        <v>1</v>
      </c>
      <c r="B226" s="29" t="s">
        <v>488</v>
      </c>
      <c r="C226" s="60" t="s">
        <v>489</v>
      </c>
      <c r="E226" s="60" t="s">
        <v>142</v>
      </c>
      <c r="F226" s="17">
        <v>45970</v>
      </c>
      <c r="I226" s="19"/>
    </row>
    <row r="227" spans="1:9">
      <c r="A227" s="14">
        <v>1</v>
      </c>
      <c r="B227" s="29" t="s">
        <v>490</v>
      </c>
      <c r="C227" s="60" t="s">
        <v>491</v>
      </c>
      <c r="E227" s="60" t="s">
        <v>142</v>
      </c>
      <c r="F227" s="17">
        <v>45970</v>
      </c>
      <c r="I227" s="19"/>
    </row>
    <row r="228" spans="1:9">
      <c r="A228" s="14">
        <v>1</v>
      </c>
      <c r="B228" s="29" t="s">
        <v>492</v>
      </c>
      <c r="C228" s="60" t="s">
        <v>493</v>
      </c>
      <c r="E228" s="60" t="s">
        <v>142</v>
      </c>
      <c r="F228" s="17">
        <v>45970</v>
      </c>
      <c r="I228" s="19"/>
    </row>
    <row r="229" spans="1:9">
      <c r="A229" s="14">
        <v>1</v>
      </c>
      <c r="B229" s="29" t="s">
        <v>494</v>
      </c>
      <c r="C229" s="60" t="s">
        <v>495</v>
      </c>
      <c r="E229" s="60" t="s">
        <v>142</v>
      </c>
      <c r="F229" s="17">
        <v>45970</v>
      </c>
      <c r="I229" s="19"/>
    </row>
    <row r="230" spans="1:9">
      <c r="A230" s="14">
        <v>0</v>
      </c>
      <c r="B230" s="28" t="s">
        <v>496</v>
      </c>
      <c r="C230" s="13" t="s">
        <v>497</v>
      </c>
      <c r="I230" s="19">
        <f>H230-G230</f>
        <v>0</v>
      </c>
    </row>
    <row r="231" spans="1:9">
      <c r="A231" s="14">
        <v>0</v>
      </c>
      <c r="B231" s="29" t="s">
        <v>498</v>
      </c>
      <c r="C231" t="s">
        <v>499</v>
      </c>
      <c r="I231" s="19"/>
    </row>
    <row r="232" spans="1:9">
      <c r="A232" s="14">
        <v>0</v>
      </c>
      <c r="B232" s="28" t="s">
        <v>500</v>
      </c>
      <c r="C232" s="13" t="s">
        <v>501</v>
      </c>
      <c r="I232" s="19">
        <f>H232-G232</f>
        <v>0</v>
      </c>
    </row>
    <row r="233" spans="1:9">
      <c r="A233" s="14">
        <v>0</v>
      </c>
      <c r="B233" s="29" t="s">
        <v>502</v>
      </c>
      <c r="C233" t="s">
        <v>499</v>
      </c>
      <c r="I233" s="19"/>
    </row>
    <row r="234" spans="1:9">
      <c r="A234" s="14">
        <f>AVERAGE(A237:A237)</f>
        <v>0</v>
      </c>
      <c r="B234" s="28">
        <v>4.2</v>
      </c>
      <c r="C234" s="13" t="s">
        <v>503</v>
      </c>
      <c r="I234" s="19">
        <f>H234-G234</f>
        <v>0</v>
      </c>
    </row>
    <row r="235" spans="1:9">
      <c r="A235" s="14">
        <v>0</v>
      </c>
      <c r="B235" s="29" t="s">
        <v>504</v>
      </c>
      <c r="C235" t="s">
        <v>505</v>
      </c>
      <c r="E235" t="s">
        <v>18</v>
      </c>
      <c r="I235" s="19">
        <f>H235-G235</f>
        <v>0</v>
      </c>
    </row>
    <row r="236" spans="1:9">
      <c r="A236" s="14">
        <v>0</v>
      </c>
      <c r="B236" s="29" t="s">
        <v>506</v>
      </c>
      <c r="C236" t="s">
        <v>507</v>
      </c>
      <c r="E236" t="s">
        <v>508</v>
      </c>
      <c r="I236" s="19"/>
    </row>
    <row r="237" spans="1:9">
      <c r="A237" s="14">
        <v>0</v>
      </c>
      <c r="B237" s="29" t="s">
        <v>509</v>
      </c>
      <c r="C237" t="s">
        <v>510</v>
      </c>
      <c r="E237" t="s">
        <v>511</v>
      </c>
      <c r="I237" s="19">
        <f>H237-G237</f>
        <v>0</v>
      </c>
    </row>
    <row r="238" spans="1:9">
      <c r="A238" s="14">
        <v>0</v>
      </c>
      <c r="B238" s="28">
        <v>4.3</v>
      </c>
      <c r="C238" s="13" t="s">
        <v>512</v>
      </c>
      <c r="F238" s="17">
        <v>45970</v>
      </c>
      <c r="I238" s="19">
        <f>H238-G238</f>
        <v>0</v>
      </c>
    </row>
    <row r="239" spans="1:9">
      <c r="A239" s="14">
        <f>AVERAGE(A240:A245)</f>
        <v>1</v>
      </c>
      <c r="B239" s="28" t="s">
        <v>513</v>
      </c>
      <c r="C239" s="13" t="s">
        <v>514</v>
      </c>
      <c r="I239" s="19"/>
    </row>
    <row r="240" spans="1:9">
      <c r="A240" s="14">
        <v>1</v>
      </c>
      <c r="B240" s="29" t="s">
        <v>515</v>
      </c>
      <c r="C240" t="s">
        <v>141</v>
      </c>
      <c r="E240" t="s">
        <v>142</v>
      </c>
      <c r="F240" s="17">
        <v>45970</v>
      </c>
      <c r="G240" s="19">
        <v>0.66666666666666663</v>
      </c>
      <c r="H240" s="19">
        <v>0.6875</v>
      </c>
      <c r="I240" s="19"/>
    </row>
    <row r="241" spans="1:9">
      <c r="A241" s="14">
        <v>1</v>
      </c>
      <c r="B241" s="29" t="s">
        <v>516</v>
      </c>
      <c r="C241" t="s">
        <v>517</v>
      </c>
      <c r="E241" t="s">
        <v>147</v>
      </c>
      <c r="F241" s="17">
        <v>45970</v>
      </c>
      <c r="G241" s="19">
        <v>0.66666666666666663</v>
      </c>
      <c r="H241" s="19">
        <v>0.6875</v>
      </c>
      <c r="I241" s="19"/>
    </row>
    <row r="242" spans="1:9">
      <c r="A242" s="14">
        <v>1</v>
      </c>
      <c r="B242" s="29" t="s">
        <v>518</v>
      </c>
      <c r="C242" t="s">
        <v>519</v>
      </c>
      <c r="E242" t="s">
        <v>147</v>
      </c>
      <c r="F242" s="17">
        <v>45970</v>
      </c>
      <c r="G242" s="19">
        <v>0.66666666666666663</v>
      </c>
      <c r="H242" s="19">
        <v>0.6875</v>
      </c>
      <c r="I242" s="19"/>
    </row>
    <row r="243" spans="1:9">
      <c r="A243" s="14">
        <v>1</v>
      </c>
      <c r="B243" s="29" t="s">
        <v>520</v>
      </c>
      <c r="C243" t="s">
        <v>521</v>
      </c>
      <c r="E243" t="s">
        <v>101</v>
      </c>
      <c r="F243" s="17">
        <v>45970</v>
      </c>
      <c r="G243" s="19">
        <v>0.66666666666666663</v>
      </c>
      <c r="H243" s="19">
        <v>0.6875</v>
      </c>
      <c r="I243" s="19"/>
    </row>
    <row r="244" spans="1:9">
      <c r="A244" s="14">
        <v>1</v>
      </c>
      <c r="B244" s="29" t="s">
        <v>522</v>
      </c>
      <c r="C244" t="s">
        <v>523</v>
      </c>
      <c r="E244" t="s">
        <v>101</v>
      </c>
      <c r="F244" s="17">
        <v>45970</v>
      </c>
      <c r="G244" s="19">
        <v>0.66666666666666663</v>
      </c>
      <c r="H244" s="19">
        <v>0.6875</v>
      </c>
      <c r="I244" s="19"/>
    </row>
    <row r="245" spans="1:9">
      <c r="A245" s="14">
        <v>1</v>
      </c>
      <c r="B245" s="29" t="s">
        <v>524</v>
      </c>
      <c r="C245" t="s">
        <v>525</v>
      </c>
      <c r="E245" t="s">
        <v>101</v>
      </c>
      <c r="F245" s="17">
        <v>45970</v>
      </c>
      <c r="G245" s="19">
        <v>0.66666666666666663</v>
      </c>
      <c r="H245" s="19">
        <v>0.6875</v>
      </c>
      <c r="I245" s="19"/>
    </row>
    <row r="246" spans="1:9">
      <c r="A246" s="14">
        <v>0</v>
      </c>
      <c r="B246" s="28" t="s">
        <v>526</v>
      </c>
      <c r="C246" s="13" t="s">
        <v>527</v>
      </c>
      <c r="I246" s="19"/>
    </row>
    <row r="247" spans="1:9">
      <c r="A247" s="14">
        <v>0</v>
      </c>
      <c r="B247" s="29" t="s">
        <v>528</v>
      </c>
      <c r="C247" t="s">
        <v>529</v>
      </c>
      <c r="E247" t="s">
        <v>530</v>
      </c>
      <c r="F247" s="17">
        <v>45970</v>
      </c>
      <c r="G247" s="19">
        <v>0.66666666666666663</v>
      </c>
      <c r="H247" s="19">
        <v>0.6875</v>
      </c>
      <c r="I247" s="19"/>
    </row>
    <row r="248" spans="1:9">
      <c r="A248" s="14">
        <v>0</v>
      </c>
      <c r="B248" s="29" t="s">
        <v>531</v>
      </c>
      <c r="C248" t="s">
        <v>532</v>
      </c>
      <c r="E248" t="s">
        <v>530</v>
      </c>
      <c r="F248" s="17">
        <v>45970</v>
      </c>
      <c r="G248" s="19">
        <v>0.66666666666666663</v>
      </c>
      <c r="H248" s="19">
        <v>0.6875</v>
      </c>
      <c r="I248" s="19"/>
    </row>
    <row r="249" spans="1:9">
      <c r="A249" s="14">
        <v>0</v>
      </c>
      <c r="B249" s="29" t="s">
        <v>533</v>
      </c>
      <c r="C249" t="s">
        <v>534</v>
      </c>
      <c r="E249" t="s">
        <v>530</v>
      </c>
      <c r="F249" s="17">
        <v>45970</v>
      </c>
      <c r="G249" s="19">
        <v>0.66666666666666663</v>
      </c>
      <c r="H249" s="19">
        <v>0.6875</v>
      </c>
      <c r="I249" s="19"/>
    </row>
    <row r="250" spans="1:9">
      <c r="A250" s="14">
        <v>1</v>
      </c>
      <c r="B250" s="28" t="s">
        <v>535</v>
      </c>
      <c r="C250" s="13" t="s">
        <v>536</v>
      </c>
      <c r="I250" s="19"/>
    </row>
    <row r="251" spans="1:9">
      <c r="A251" s="14">
        <v>1</v>
      </c>
      <c r="B251" s="29" t="s">
        <v>537</v>
      </c>
      <c r="C251" t="s">
        <v>538</v>
      </c>
      <c r="E251" t="s">
        <v>50</v>
      </c>
      <c r="F251" s="17">
        <v>45970</v>
      </c>
      <c r="I251" s="19"/>
    </row>
    <row r="252" spans="1:9">
      <c r="A252" s="14">
        <v>0</v>
      </c>
      <c r="B252" s="28" t="s">
        <v>539</v>
      </c>
      <c r="C252" s="13" t="s">
        <v>540</v>
      </c>
      <c r="I252" s="19"/>
    </row>
    <row r="253" spans="1:9">
      <c r="A253" s="14">
        <v>0</v>
      </c>
      <c r="B253" s="29" t="s">
        <v>541</v>
      </c>
      <c r="C253" s="13"/>
      <c r="E253" t="s">
        <v>110</v>
      </c>
      <c r="I253" s="19"/>
    </row>
    <row r="254" spans="1:9">
      <c r="A254" s="14">
        <v>0</v>
      </c>
      <c r="B254" s="28" t="s">
        <v>542</v>
      </c>
      <c r="C254" s="13" t="s">
        <v>543</v>
      </c>
      <c r="I254" s="19"/>
    </row>
    <row r="255" spans="1:9">
      <c r="A255" s="14">
        <v>0</v>
      </c>
      <c r="B255" s="29" t="s">
        <v>544</v>
      </c>
      <c r="C255" t="s">
        <v>545</v>
      </c>
      <c r="E255" t="s">
        <v>50</v>
      </c>
      <c r="F255" s="17">
        <v>45970</v>
      </c>
      <c r="I255" s="19"/>
    </row>
    <row r="256" spans="1:9">
      <c r="A256" s="14">
        <v>0</v>
      </c>
      <c r="B256" s="28">
        <v>4.4000000000000004</v>
      </c>
      <c r="C256" s="13" t="s">
        <v>546</v>
      </c>
      <c r="F256" s="17">
        <v>45970</v>
      </c>
      <c r="I256" s="19">
        <f>H256-G256</f>
        <v>0</v>
      </c>
    </row>
    <row r="257" spans="1:9">
      <c r="A257" s="14">
        <v>0</v>
      </c>
      <c r="B257" s="29" t="s">
        <v>547</v>
      </c>
      <c r="C257" t="s">
        <v>548</v>
      </c>
      <c r="E257" t="s">
        <v>40</v>
      </c>
      <c r="I257" s="19">
        <f>H257-G257</f>
        <v>0</v>
      </c>
    </row>
    <row r="258" spans="1:9">
      <c r="A258" s="14">
        <v>0</v>
      </c>
      <c r="B258" s="29" t="s">
        <v>549</v>
      </c>
      <c r="C258" t="s">
        <v>550</v>
      </c>
      <c r="E258" t="s">
        <v>40</v>
      </c>
      <c r="I258" s="19">
        <f>H258-G258</f>
        <v>0</v>
      </c>
    </row>
    <row r="259" spans="1:9" s="25" customFormat="1" ht="15.95">
      <c r="A259" s="22"/>
      <c r="B259" s="27">
        <v>5</v>
      </c>
      <c r="C259" s="21" t="s">
        <v>551</v>
      </c>
      <c r="D259" s="22"/>
      <c r="E259" s="22"/>
      <c r="F259" s="23"/>
      <c r="G259" s="24"/>
      <c r="H259" s="24"/>
      <c r="I259" s="24"/>
    </row>
    <row r="260" spans="1:9">
      <c r="B260" s="28">
        <v>5.0999999999999996</v>
      </c>
      <c r="C260" s="13" t="s">
        <v>552</v>
      </c>
      <c r="I260" s="19">
        <f t="shared" ref="I260:I269" si="3">H260-G260</f>
        <v>0</v>
      </c>
    </row>
    <row r="261" spans="1:9">
      <c r="B261" s="29" t="s">
        <v>553</v>
      </c>
      <c r="C261" t="s">
        <v>554</v>
      </c>
      <c r="I261" s="19">
        <f t="shared" si="3"/>
        <v>0</v>
      </c>
    </row>
    <row r="262" spans="1:9">
      <c r="B262" s="29" t="s">
        <v>555</v>
      </c>
      <c r="C262" t="s">
        <v>556</v>
      </c>
      <c r="I262" s="19">
        <f t="shared" si="3"/>
        <v>0</v>
      </c>
    </row>
    <row r="263" spans="1:9">
      <c r="A263" s="14">
        <v>1</v>
      </c>
      <c r="B263" s="29" t="s">
        <v>557</v>
      </c>
      <c r="C263" t="s">
        <v>558</v>
      </c>
      <c r="E263" t="s">
        <v>25</v>
      </c>
      <c r="I263" s="19">
        <f t="shared" si="3"/>
        <v>0</v>
      </c>
    </row>
    <row r="264" spans="1:9">
      <c r="A264" s="14">
        <v>1</v>
      </c>
      <c r="B264" s="29" t="s">
        <v>559</v>
      </c>
      <c r="C264" t="s">
        <v>560</v>
      </c>
      <c r="E264" t="s">
        <v>25</v>
      </c>
      <c r="I264" s="19">
        <f t="shared" si="3"/>
        <v>0</v>
      </c>
    </row>
    <row r="265" spans="1:9">
      <c r="A265" s="14">
        <v>1</v>
      </c>
      <c r="B265" s="29" t="s">
        <v>561</v>
      </c>
      <c r="C265" t="s">
        <v>562</v>
      </c>
      <c r="E265" t="s">
        <v>25</v>
      </c>
      <c r="I265" s="19">
        <f t="shared" si="3"/>
        <v>0</v>
      </c>
    </row>
    <row r="266" spans="1:9">
      <c r="A266" s="14">
        <v>1</v>
      </c>
      <c r="B266" s="29" t="s">
        <v>563</v>
      </c>
      <c r="C266" t="s">
        <v>564</v>
      </c>
      <c r="E266" t="s">
        <v>25</v>
      </c>
      <c r="I266" s="19">
        <f t="shared" si="3"/>
        <v>0</v>
      </c>
    </row>
    <row r="267" spans="1:9">
      <c r="A267" s="14">
        <v>1</v>
      </c>
      <c r="B267" s="29" t="s">
        <v>565</v>
      </c>
      <c r="C267" t="s">
        <v>566</v>
      </c>
      <c r="E267" t="s">
        <v>25</v>
      </c>
      <c r="I267" s="19">
        <f t="shared" si="3"/>
        <v>0</v>
      </c>
    </row>
    <row r="268" spans="1:9">
      <c r="A268" s="14">
        <v>0.8</v>
      </c>
      <c r="B268" s="29" t="s">
        <v>567</v>
      </c>
      <c r="C268" t="s">
        <v>568</v>
      </c>
      <c r="E268" t="s">
        <v>25</v>
      </c>
      <c r="I268" s="19">
        <f t="shared" si="3"/>
        <v>0</v>
      </c>
    </row>
    <row r="269" spans="1:9">
      <c r="B269" s="29">
        <v>5.2</v>
      </c>
      <c r="C269" t="s">
        <v>569</v>
      </c>
      <c r="I269" s="19">
        <f t="shared" si="3"/>
        <v>0</v>
      </c>
    </row>
  </sheetData>
  <autoFilter ref="A1:I269" xr:uid="{8ADCE60D-EB1D-4614-934B-FBD700FFA03D}"/>
  <phoneticPr fontId="6" type="noConversion"/>
  <conditionalFormatting sqref="A1:A1048576">
    <cfRule type="colorScale" priority="1">
      <colorScale>
        <cfvo type="percent" val="0"/>
        <cfvo type="percent" val="100"/>
        <color rgb="FFFFFFCC"/>
        <color rgb="FF00B050"/>
      </colorScale>
    </cfRule>
  </conditionalFormatting>
  <dataValidations count="1">
    <dataValidation type="time" allowBlank="1" showInputMessage="1" showErrorMessage="1" sqref="I117 H111:H115 H1:H98 G1:G115 I104:I115 G116:H1048576" xr:uid="{A9316DE3-55A7-4669-BEFD-6A55E6D40CB4}">
      <formula1>0</formula1>
      <formula2>0.999988425925926</formula2>
    </dataValidation>
  </dataValidations>
  <pageMargins left="0.7" right="0.7" top="0.75" bottom="0.75" header="0.3" footer="0.3"/>
  <pageSetup paperSize="9" scale="56" fitToHeight="0" orientation="landscape" r:id="rId1"/>
  <ignoredErrors>
    <ignoredError sqref="A40 A19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D77E-6AFF-4D8E-985A-77A583268FFD}">
  <sheetPr>
    <pageSetUpPr fitToPage="1"/>
  </sheetPr>
  <dimension ref="A1:D52"/>
  <sheetViews>
    <sheetView workbookViewId="0">
      <pane ySplit="2" topLeftCell="A20" activePane="bottomLeft" state="frozen"/>
      <selection pane="bottomLeft" activeCell="D20" sqref="D20"/>
    </sheetView>
  </sheetViews>
  <sheetFormatPr defaultRowHeight="14.45"/>
  <cols>
    <col min="1" max="1" width="65.7109375" bestFit="1" customWidth="1"/>
    <col min="2" max="4" width="8.7109375" style="25"/>
  </cols>
  <sheetData>
    <row r="1" spans="1:4" s="52" customFormat="1">
      <c r="A1" s="52" t="s">
        <v>570</v>
      </c>
      <c r="B1" s="54"/>
      <c r="C1" s="54"/>
      <c r="D1" s="54"/>
    </row>
    <row r="2" spans="1:4" s="52" customFormat="1">
      <c r="A2" s="52" t="s">
        <v>571</v>
      </c>
      <c r="B2" s="54"/>
      <c r="C2" s="54"/>
      <c r="D2" s="54"/>
    </row>
    <row r="4" spans="1:4" s="13" customFormat="1">
      <c r="A4" s="13" t="s">
        <v>572</v>
      </c>
      <c r="B4" s="55" t="s">
        <v>573</v>
      </c>
      <c r="C4" s="55" t="s">
        <v>574</v>
      </c>
      <c r="D4" s="55" t="s">
        <v>575</v>
      </c>
    </row>
    <row r="5" spans="1:4">
      <c r="A5" t="s">
        <v>576</v>
      </c>
      <c r="B5" s="25" t="s">
        <v>577</v>
      </c>
    </row>
    <row r="6" spans="1:4">
      <c r="A6" t="s">
        <v>578</v>
      </c>
      <c r="D6" s="25" t="s">
        <v>577</v>
      </c>
    </row>
    <row r="7" spans="1:4">
      <c r="A7" t="s">
        <v>579</v>
      </c>
      <c r="C7" s="25" t="s">
        <v>577</v>
      </c>
    </row>
    <row r="8" spans="1:4">
      <c r="A8" t="s">
        <v>580</v>
      </c>
      <c r="B8" s="25" t="s">
        <v>577</v>
      </c>
    </row>
    <row r="9" spans="1:4">
      <c r="A9" t="s">
        <v>581</v>
      </c>
      <c r="D9" s="25" t="s">
        <v>577</v>
      </c>
    </row>
    <row r="10" spans="1:4">
      <c r="A10" t="s">
        <v>582</v>
      </c>
      <c r="D10" s="25" t="s">
        <v>577</v>
      </c>
    </row>
    <row r="11" spans="1:4">
      <c r="A11" t="s">
        <v>583</v>
      </c>
      <c r="D11" s="25" t="s">
        <v>577</v>
      </c>
    </row>
    <row r="12" spans="1:4">
      <c r="A12" t="s">
        <v>584</v>
      </c>
      <c r="C12" s="25" t="s">
        <v>577</v>
      </c>
    </row>
    <row r="13" spans="1:4">
      <c r="A13" t="s">
        <v>585</v>
      </c>
      <c r="D13" s="25" t="s">
        <v>577</v>
      </c>
    </row>
    <row r="14" spans="1:4">
      <c r="A14" t="s">
        <v>586</v>
      </c>
      <c r="C14" s="25" t="s">
        <v>577</v>
      </c>
    </row>
    <row r="15" spans="1:4">
      <c r="A15" t="s">
        <v>587</v>
      </c>
      <c r="D15" s="25" t="s">
        <v>577</v>
      </c>
    </row>
    <row r="16" spans="1:4">
      <c r="A16" t="s">
        <v>588</v>
      </c>
      <c r="D16" s="25" t="s">
        <v>577</v>
      </c>
    </row>
    <row r="17" spans="1:4">
      <c r="A17" t="s">
        <v>589</v>
      </c>
      <c r="C17" s="25" t="s">
        <v>577</v>
      </c>
    </row>
    <row r="18" spans="1:4">
      <c r="A18" t="s">
        <v>590</v>
      </c>
      <c r="D18" s="25" t="s">
        <v>577</v>
      </c>
    </row>
    <row r="19" spans="1:4">
      <c r="A19" t="s">
        <v>591</v>
      </c>
      <c r="D19" s="25" t="s">
        <v>577</v>
      </c>
    </row>
    <row r="20" spans="1:4">
      <c r="A20" t="s">
        <v>592</v>
      </c>
      <c r="C20" s="25" t="s">
        <v>577</v>
      </c>
    </row>
    <row r="22" spans="1:4">
      <c r="A22" t="s">
        <v>593</v>
      </c>
      <c r="C22" s="25" t="s">
        <v>577</v>
      </c>
    </row>
    <row r="23" spans="1:4">
      <c r="A23" t="s">
        <v>37</v>
      </c>
      <c r="B23" s="25" t="s">
        <v>577</v>
      </c>
    </row>
    <row r="24" spans="1:4">
      <c r="A24" t="s">
        <v>594</v>
      </c>
      <c r="C24" s="25" t="s">
        <v>577</v>
      </c>
    </row>
    <row r="26" spans="1:4" s="13" customFormat="1">
      <c r="A26" s="13" t="s">
        <v>595</v>
      </c>
      <c r="B26" s="55"/>
      <c r="C26" s="55"/>
      <c r="D26" s="55"/>
    </row>
    <row r="27" spans="1:4">
      <c r="A27" t="s">
        <v>596</v>
      </c>
      <c r="B27" s="25" t="s">
        <v>577</v>
      </c>
    </row>
    <row r="28" spans="1:4">
      <c r="A28" t="s">
        <v>597</v>
      </c>
      <c r="B28" s="25" t="s">
        <v>577</v>
      </c>
    </row>
    <row r="29" spans="1:4">
      <c r="A29" t="s">
        <v>598</v>
      </c>
      <c r="B29" s="25" t="s">
        <v>577</v>
      </c>
    </row>
    <row r="30" spans="1:4">
      <c r="A30" t="s">
        <v>599</v>
      </c>
      <c r="B30" s="25" t="s">
        <v>577</v>
      </c>
    </row>
    <row r="31" spans="1:4">
      <c r="A31" t="s">
        <v>600</v>
      </c>
      <c r="B31" s="25" t="s">
        <v>577</v>
      </c>
    </row>
    <row r="32" spans="1:4">
      <c r="A32" t="s">
        <v>601</v>
      </c>
      <c r="B32" s="25" t="s">
        <v>577</v>
      </c>
    </row>
    <row r="33" spans="1:3">
      <c r="A33" t="s">
        <v>602</v>
      </c>
      <c r="B33" s="25" t="s">
        <v>577</v>
      </c>
    </row>
    <row r="34" spans="1:3">
      <c r="A34" t="s">
        <v>603</v>
      </c>
      <c r="B34" s="25" t="s">
        <v>577</v>
      </c>
    </row>
    <row r="35" spans="1:3">
      <c r="A35" t="s">
        <v>604</v>
      </c>
      <c r="B35" s="25" t="s">
        <v>577</v>
      </c>
    </row>
    <row r="36" spans="1:3">
      <c r="A36" t="s">
        <v>605</v>
      </c>
      <c r="B36" s="25" t="s">
        <v>577</v>
      </c>
    </row>
    <row r="37" spans="1:3">
      <c r="A37" t="s">
        <v>606</v>
      </c>
      <c r="B37" s="25" t="s">
        <v>577</v>
      </c>
    </row>
    <row r="38" spans="1:3">
      <c r="A38" t="s">
        <v>607</v>
      </c>
      <c r="B38" s="25" t="s">
        <v>577</v>
      </c>
    </row>
    <row r="39" spans="1:3">
      <c r="A39" t="s">
        <v>608</v>
      </c>
      <c r="B39" s="25" t="s">
        <v>577</v>
      </c>
    </row>
    <row r="40" spans="1:3">
      <c r="A40" t="s">
        <v>609</v>
      </c>
      <c r="B40" s="25" t="s">
        <v>577</v>
      </c>
    </row>
    <row r="41" spans="1:3">
      <c r="A41" t="s">
        <v>610</v>
      </c>
      <c r="C41" s="25" t="s">
        <v>577</v>
      </c>
    </row>
    <row r="42" spans="1:3">
      <c r="A42" t="s">
        <v>611</v>
      </c>
      <c r="C42" s="25" t="s">
        <v>577</v>
      </c>
    </row>
    <row r="43" spans="1:3">
      <c r="A43" t="s">
        <v>612</v>
      </c>
      <c r="C43" s="25" t="s">
        <v>577</v>
      </c>
    </row>
    <row r="44" spans="1:3">
      <c r="A44" t="s">
        <v>613</v>
      </c>
      <c r="C44" s="25" t="s">
        <v>577</v>
      </c>
    </row>
    <row r="45" spans="1:3">
      <c r="A45" t="s">
        <v>614</v>
      </c>
      <c r="C45" s="25" t="s">
        <v>577</v>
      </c>
    </row>
    <row r="46" spans="1:3">
      <c r="A46" t="s">
        <v>615</v>
      </c>
      <c r="C46" s="25" t="s">
        <v>577</v>
      </c>
    </row>
    <row r="47" spans="1:3">
      <c r="A47" t="s">
        <v>616</v>
      </c>
      <c r="C47" s="25" t="s">
        <v>577</v>
      </c>
    </row>
    <row r="48" spans="1:3">
      <c r="A48" t="s">
        <v>617</v>
      </c>
      <c r="C48" s="25" t="s">
        <v>577</v>
      </c>
    </row>
    <row r="49" spans="1:3">
      <c r="A49" t="s">
        <v>618</v>
      </c>
      <c r="C49" s="25" t="s">
        <v>577</v>
      </c>
    </row>
    <row r="50" spans="1:3">
      <c r="A50" t="s">
        <v>619</v>
      </c>
      <c r="C50" s="25" t="s">
        <v>577</v>
      </c>
    </row>
    <row r="51" spans="1:3">
      <c r="A51" t="s">
        <v>620</v>
      </c>
      <c r="C51" s="25" t="s">
        <v>577</v>
      </c>
    </row>
    <row r="52" spans="1:3">
      <c r="A52" t="s">
        <v>621</v>
      </c>
      <c r="C52" s="25" t="s">
        <v>577</v>
      </c>
    </row>
  </sheetData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AE01-ACED-4A2B-B352-0B0090798504}">
  <dimension ref="A1:G45"/>
  <sheetViews>
    <sheetView topLeftCell="A33" workbookViewId="0"/>
  </sheetViews>
  <sheetFormatPr defaultRowHeight="14.45"/>
  <cols>
    <col min="1" max="1" width="15.85546875" style="33" bestFit="1" customWidth="1"/>
    <col min="2" max="2" width="55.42578125" style="33" bestFit="1" customWidth="1"/>
    <col min="5" max="5" width="10.85546875" bestFit="1" customWidth="1"/>
    <col min="6" max="6" width="14.7109375" bestFit="1" customWidth="1"/>
  </cols>
  <sheetData>
    <row r="1" spans="1:7">
      <c r="A1" s="67" t="s">
        <v>622</v>
      </c>
      <c r="B1" s="64" t="s">
        <v>623</v>
      </c>
      <c r="C1">
        <v>1</v>
      </c>
      <c r="E1" s="64" t="s">
        <v>624</v>
      </c>
      <c r="F1" s="64" t="s">
        <v>625</v>
      </c>
      <c r="G1">
        <v>1</v>
      </c>
    </row>
    <row r="2" spans="1:7">
      <c r="A2" s="64" t="s">
        <v>626</v>
      </c>
      <c r="B2" s="64" t="s">
        <v>627</v>
      </c>
      <c r="C2">
        <v>2</v>
      </c>
    </row>
    <row r="3" spans="1:7">
      <c r="A3" s="67" t="s">
        <v>628</v>
      </c>
      <c r="B3" s="64" t="s">
        <v>629</v>
      </c>
      <c r="C3">
        <v>2</v>
      </c>
    </row>
    <row r="4" spans="1:7">
      <c r="A4" s="64" t="s">
        <v>630</v>
      </c>
      <c r="B4" s="64" t="s">
        <v>631</v>
      </c>
      <c r="C4">
        <v>2</v>
      </c>
    </row>
    <row r="5" spans="1:7">
      <c r="A5" s="66" t="s">
        <v>632</v>
      </c>
      <c r="B5" s="64" t="s">
        <v>633</v>
      </c>
      <c r="C5">
        <v>2</v>
      </c>
    </row>
    <row r="6" spans="1:7">
      <c r="A6" s="64" t="s">
        <v>634</v>
      </c>
      <c r="B6" s="64" t="s">
        <v>635</v>
      </c>
      <c r="C6">
        <v>2</v>
      </c>
    </row>
    <row r="7" spans="1:7">
      <c r="A7" s="64" t="s">
        <v>636</v>
      </c>
      <c r="B7" s="64" t="s">
        <v>637</v>
      </c>
      <c r="C7">
        <v>2</v>
      </c>
    </row>
    <row r="8" spans="1:7">
      <c r="A8" s="64" t="s">
        <v>638</v>
      </c>
      <c r="B8" s="64" t="s">
        <v>639</v>
      </c>
      <c r="C8">
        <v>2</v>
      </c>
    </row>
    <row r="9" spans="1:7">
      <c r="A9" s="64" t="s">
        <v>640</v>
      </c>
      <c r="B9" s="64" t="s">
        <v>639</v>
      </c>
      <c r="C9">
        <v>2</v>
      </c>
    </row>
    <row r="10" spans="1:7">
      <c r="A10" s="64" t="s">
        <v>641</v>
      </c>
      <c r="B10" s="64" t="s">
        <v>639</v>
      </c>
      <c r="C10">
        <v>2</v>
      </c>
    </row>
    <row r="11" spans="1:7">
      <c r="A11" s="64" t="s">
        <v>642</v>
      </c>
      <c r="B11" s="64" t="s">
        <v>639</v>
      </c>
      <c r="C11">
        <v>2</v>
      </c>
    </row>
    <row r="12" spans="1:7">
      <c r="A12" s="64" t="s">
        <v>643</v>
      </c>
      <c r="B12" s="64" t="s">
        <v>644</v>
      </c>
      <c r="C12">
        <v>2</v>
      </c>
    </row>
    <row r="13" spans="1:7">
      <c r="A13" s="64" t="s">
        <v>645</v>
      </c>
      <c r="B13" s="64" t="s">
        <v>644</v>
      </c>
      <c r="C13">
        <v>2</v>
      </c>
    </row>
    <row r="14" spans="1:7">
      <c r="A14" s="64" t="s">
        <v>646</v>
      </c>
      <c r="B14" s="64" t="s">
        <v>647</v>
      </c>
      <c r="C14">
        <v>2</v>
      </c>
    </row>
    <row r="15" spans="1:7">
      <c r="A15" s="64" t="s">
        <v>648</v>
      </c>
      <c r="B15" s="64" t="s">
        <v>647</v>
      </c>
      <c r="C15">
        <v>2</v>
      </c>
    </row>
    <row r="16" spans="1:7">
      <c r="A16" s="64" t="s">
        <v>649</v>
      </c>
      <c r="B16" s="64" t="s">
        <v>650</v>
      </c>
      <c r="C16">
        <v>2</v>
      </c>
    </row>
    <row r="17" spans="1:3">
      <c r="A17" s="64" t="s">
        <v>651</v>
      </c>
      <c r="B17" s="64" t="s">
        <v>652</v>
      </c>
      <c r="C17">
        <v>2</v>
      </c>
    </row>
    <row r="18" spans="1:3">
      <c r="A18" s="64" t="s">
        <v>653</v>
      </c>
      <c r="B18" s="64" t="s">
        <v>654</v>
      </c>
      <c r="C18">
        <v>2</v>
      </c>
    </row>
    <row r="19" spans="1:3">
      <c r="A19" s="64" t="s">
        <v>655</v>
      </c>
      <c r="B19" s="64" t="s">
        <v>656</v>
      </c>
      <c r="C19">
        <v>2</v>
      </c>
    </row>
    <row r="20" spans="1:3">
      <c r="A20" s="64" t="s">
        <v>657</v>
      </c>
      <c r="B20" s="64" t="s">
        <v>658</v>
      </c>
      <c r="C20">
        <v>2</v>
      </c>
    </row>
    <row r="21" spans="1:3">
      <c r="A21" s="64" t="s">
        <v>659</v>
      </c>
      <c r="B21" s="64" t="s">
        <v>660</v>
      </c>
      <c r="C21">
        <v>2</v>
      </c>
    </row>
    <row r="22" spans="1:3">
      <c r="A22" s="64" t="s">
        <v>661</v>
      </c>
      <c r="B22" s="64" t="s">
        <v>662</v>
      </c>
      <c r="C22">
        <v>2</v>
      </c>
    </row>
    <row r="23" spans="1:3">
      <c r="A23" s="64" t="s">
        <v>663</v>
      </c>
      <c r="B23" s="64" t="s">
        <v>664</v>
      </c>
      <c r="C23">
        <v>2</v>
      </c>
    </row>
    <row r="24" spans="1:3">
      <c r="A24" s="64" t="s">
        <v>665</v>
      </c>
      <c r="B24" s="64" t="s">
        <v>666</v>
      </c>
      <c r="C24">
        <v>2</v>
      </c>
    </row>
    <row r="25" spans="1:3">
      <c r="A25" s="64" t="s">
        <v>667</v>
      </c>
      <c r="B25" s="64" t="s">
        <v>668</v>
      </c>
      <c r="C25">
        <v>2</v>
      </c>
    </row>
    <row r="26" spans="1:3">
      <c r="A26" s="64" t="s">
        <v>669</v>
      </c>
      <c r="B26" s="64" t="s">
        <v>670</v>
      </c>
      <c r="C26">
        <v>2</v>
      </c>
    </row>
    <row r="27" spans="1:3">
      <c r="A27" s="64" t="s">
        <v>671</v>
      </c>
      <c r="B27" s="64" t="s">
        <v>670</v>
      </c>
      <c r="C27">
        <v>2</v>
      </c>
    </row>
    <row r="28" spans="1:3">
      <c r="A28" s="64" t="s">
        <v>672</v>
      </c>
      <c r="B28" s="64" t="s">
        <v>673</v>
      </c>
      <c r="C28">
        <v>2</v>
      </c>
    </row>
    <row r="29" spans="1:3">
      <c r="A29" s="64" t="s">
        <v>674</v>
      </c>
      <c r="B29" s="64" t="s">
        <v>675</v>
      </c>
      <c r="C29">
        <v>2</v>
      </c>
    </row>
    <row r="30" spans="1:3">
      <c r="A30" s="64" t="s">
        <v>676</v>
      </c>
      <c r="B30" s="64" t="s">
        <v>677</v>
      </c>
      <c r="C30">
        <v>2</v>
      </c>
    </row>
    <row r="31" spans="1:3">
      <c r="A31" s="64" t="s">
        <v>678</v>
      </c>
      <c r="B31" s="64" t="s">
        <v>679</v>
      </c>
      <c r="C31">
        <v>2</v>
      </c>
    </row>
    <row r="32" spans="1:3">
      <c r="A32" s="64" t="s">
        <v>680</v>
      </c>
      <c r="B32" s="64" t="s">
        <v>681</v>
      </c>
      <c r="C32">
        <v>2</v>
      </c>
    </row>
    <row r="33" spans="1:3">
      <c r="A33" s="64" t="s">
        <v>682</v>
      </c>
      <c r="B33" s="64" t="s">
        <v>681</v>
      </c>
      <c r="C33">
        <v>2</v>
      </c>
    </row>
    <row r="34" spans="1:3">
      <c r="A34" s="64" t="s">
        <v>683</v>
      </c>
      <c r="B34" s="64" t="s">
        <v>684</v>
      </c>
      <c r="C34">
        <v>2</v>
      </c>
    </row>
    <row r="35" spans="1:3">
      <c r="A35" s="64" t="s">
        <v>685</v>
      </c>
      <c r="B35" s="64" t="s">
        <v>686</v>
      </c>
      <c r="C35">
        <v>2</v>
      </c>
    </row>
    <row r="36" spans="1:3">
      <c r="A36" s="64" t="s">
        <v>687</v>
      </c>
      <c r="B36" s="64" t="s">
        <v>688</v>
      </c>
      <c r="C36">
        <v>2</v>
      </c>
    </row>
    <row r="37" spans="1:3">
      <c r="A37" s="64" t="s">
        <v>689</v>
      </c>
      <c r="B37" s="64" t="s">
        <v>690</v>
      </c>
      <c r="C37">
        <v>2</v>
      </c>
    </row>
    <row r="38" spans="1:3">
      <c r="A38" s="64" t="s">
        <v>691</v>
      </c>
      <c r="B38" s="64" t="s">
        <v>690</v>
      </c>
      <c r="C38">
        <v>2</v>
      </c>
    </row>
    <row r="39" spans="1:3">
      <c r="A39" s="64" t="s">
        <v>692</v>
      </c>
      <c r="B39" s="64" t="s">
        <v>693</v>
      </c>
      <c r="C39">
        <v>2</v>
      </c>
    </row>
    <row r="40" spans="1:3">
      <c r="A40" s="64" t="s">
        <v>694</v>
      </c>
      <c r="B40" s="64" t="s">
        <v>695</v>
      </c>
      <c r="C40">
        <v>2</v>
      </c>
    </row>
    <row r="41" spans="1:3">
      <c r="A41" s="64" t="s">
        <v>696</v>
      </c>
      <c r="B41" s="64" t="s">
        <v>697</v>
      </c>
      <c r="C41">
        <v>2</v>
      </c>
    </row>
    <row r="42" spans="1:3">
      <c r="A42" s="64" t="s">
        <v>698</v>
      </c>
      <c r="B42" s="64" t="s">
        <v>699</v>
      </c>
      <c r="C42">
        <v>2</v>
      </c>
    </row>
    <row r="43" spans="1:3">
      <c r="A43" s="64" t="s">
        <v>700</v>
      </c>
      <c r="B43" s="64" t="s">
        <v>701</v>
      </c>
      <c r="C43">
        <v>2</v>
      </c>
    </row>
    <row r="44" spans="1:3">
      <c r="A44" s="64" t="s">
        <v>702</v>
      </c>
      <c r="B44" s="64" t="s">
        <v>703</v>
      </c>
      <c r="C44">
        <v>2</v>
      </c>
    </row>
    <row r="45" spans="1:3">
      <c r="A45" s="33" t="s">
        <v>704</v>
      </c>
      <c r="B45" s="64" t="s">
        <v>705</v>
      </c>
      <c r="C4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9301-1557-4EDA-AC0F-02DD3CF7974C}">
  <dimension ref="A1:N148"/>
  <sheetViews>
    <sheetView workbookViewId="0">
      <pane ySplit="1" topLeftCell="A2" activePane="bottomLeft" state="frozen"/>
      <selection pane="bottomLeft" activeCell="A2" sqref="A2:A106"/>
    </sheetView>
  </sheetViews>
  <sheetFormatPr defaultColWidth="34.85546875" defaultRowHeight="15" customHeight="1"/>
  <cols>
    <col min="1" max="1" width="51.28515625" bestFit="1" customWidth="1"/>
    <col min="2" max="2" width="51.28515625" customWidth="1"/>
    <col min="3" max="3" width="27" customWidth="1"/>
    <col min="4" max="4" width="10.28515625" bestFit="1" customWidth="1"/>
    <col min="5" max="5" width="14.28515625" bestFit="1" customWidth="1"/>
    <col min="6" max="6" width="10.85546875" bestFit="1" customWidth="1"/>
    <col min="7" max="7" width="21.42578125" hidden="1" customWidth="1"/>
    <col min="8" max="8" width="34.7109375" bestFit="1" customWidth="1"/>
    <col min="9" max="9" width="30.42578125" hidden="1" customWidth="1"/>
    <col min="10" max="10" width="42.5703125" bestFit="1" customWidth="1"/>
    <col min="11" max="11" width="36.5703125" bestFit="1" customWidth="1"/>
    <col min="12" max="12" width="36.5703125" customWidth="1"/>
  </cols>
  <sheetData>
    <row r="1" spans="1:14" ht="29.1">
      <c r="A1" s="35" t="s">
        <v>706</v>
      </c>
      <c r="B1" s="36" t="s">
        <v>707</v>
      </c>
      <c r="C1" s="35" t="s">
        <v>708</v>
      </c>
      <c r="D1" s="35" t="s">
        <v>709</v>
      </c>
      <c r="E1" s="35" t="s">
        <v>710</v>
      </c>
      <c r="F1" s="35" t="s">
        <v>711</v>
      </c>
      <c r="G1" s="35" t="s">
        <v>712</v>
      </c>
      <c r="H1" s="36" t="s">
        <v>713</v>
      </c>
      <c r="I1" s="35" t="s">
        <v>714</v>
      </c>
      <c r="J1" s="35" t="s">
        <v>715</v>
      </c>
      <c r="K1" s="35" t="s">
        <v>716</v>
      </c>
      <c r="L1" s="35" t="s">
        <v>717</v>
      </c>
      <c r="M1" s="35" t="s">
        <v>718</v>
      </c>
      <c r="N1" s="36" t="s">
        <v>719</v>
      </c>
    </row>
    <row r="2" spans="1:14" ht="14.45">
      <c r="A2" s="37" t="s">
        <v>720</v>
      </c>
      <c r="B2" s="38" t="s">
        <v>721</v>
      </c>
      <c r="C2" s="38" t="s">
        <v>722</v>
      </c>
      <c r="D2" s="38" t="s">
        <v>723</v>
      </c>
      <c r="E2" s="38" t="s">
        <v>724</v>
      </c>
      <c r="F2" s="38" t="s">
        <v>725</v>
      </c>
      <c r="G2" s="38" t="s">
        <v>726</v>
      </c>
      <c r="H2" s="38" t="s">
        <v>709</v>
      </c>
      <c r="I2" s="38" t="s">
        <v>727</v>
      </c>
      <c r="J2" s="38" t="s">
        <v>727</v>
      </c>
      <c r="K2" s="38" t="s">
        <v>728</v>
      </c>
      <c r="L2" s="38" t="s">
        <v>721</v>
      </c>
      <c r="M2" s="38"/>
      <c r="N2" s="38" t="s">
        <v>721</v>
      </c>
    </row>
    <row r="3" spans="1:14" ht="14.45">
      <c r="A3" s="39" t="s">
        <v>729</v>
      </c>
      <c r="B3" s="40" t="s">
        <v>721</v>
      </c>
      <c r="C3" s="38" t="s">
        <v>722</v>
      </c>
      <c r="D3" s="40" t="s">
        <v>723</v>
      </c>
      <c r="E3" s="40" t="s">
        <v>724</v>
      </c>
      <c r="F3" s="40" t="s">
        <v>725</v>
      </c>
      <c r="G3" s="40" t="s">
        <v>726</v>
      </c>
      <c r="H3" s="40" t="s">
        <v>709</v>
      </c>
      <c r="I3" s="40" t="s">
        <v>727</v>
      </c>
      <c r="J3" s="40" t="s">
        <v>727</v>
      </c>
      <c r="K3" s="40" t="s">
        <v>728</v>
      </c>
      <c r="L3" s="40" t="s">
        <v>721</v>
      </c>
      <c r="M3" s="40"/>
      <c r="N3" s="40" t="s">
        <v>721</v>
      </c>
    </row>
    <row r="4" spans="1:14" ht="29.1">
      <c r="A4" s="39" t="s">
        <v>730</v>
      </c>
      <c r="B4" s="41" t="s">
        <v>721</v>
      </c>
      <c r="C4" s="38" t="s">
        <v>722</v>
      </c>
      <c r="D4" s="40" t="s">
        <v>725</v>
      </c>
      <c r="E4" s="40" t="s">
        <v>731</v>
      </c>
      <c r="F4" s="40" t="s">
        <v>724</v>
      </c>
      <c r="G4" s="40" t="s">
        <v>723</v>
      </c>
      <c r="H4" s="40" t="s">
        <v>732</v>
      </c>
      <c r="I4" s="40" t="s">
        <v>733</v>
      </c>
      <c r="J4" s="41" t="s">
        <v>734</v>
      </c>
      <c r="K4" s="41" t="s">
        <v>735</v>
      </c>
      <c r="L4" s="41" t="s">
        <v>727</v>
      </c>
      <c r="M4" s="41"/>
      <c r="N4" s="41"/>
    </row>
    <row r="5" spans="1:14" ht="14.45">
      <c r="A5" s="39" t="s">
        <v>736</v>
      </c>
      <c r="B5" s="40" t="s">
        <v>721</v>
      </c>
      <c r="C5" s="40" t="s">
        <v>737</v>
      </c>
      <c r="D5" s="40" t="s">
        <v>738</v>
      </c>
      <c r="E5" s="40" t="s">
        <v>739</v>
      </c>
      <c r="F5" s="40" t="s">
        <v>725</v>
      </c>
      <c r="G5" s="40" t="s">
        <v>726</v>
      </c>
      <c r="H5" s="40" t="s">
        <v>709</v>
      </c>
      <c r="I5" s="40" t="s">
        <v>727</v>
      </c>
      <c r="J5" s="40" t="s">
        <v>727</v>
      </c>
      <c r="K5" s="40" t="s">
        <v>728</v>
      </c>
      <c r="L5" s="40" t="s">
        <v>721</v>
      </c>
      <c r="M5" s="40"/>
      <c r="N5" s="40" t="s">
        <v>721</v>
      </c>
    </row>
    <row r="6" spans="1:14" ht="29.1">
      <c r="A6" s="39" t="s">
        <v>740</v>
      </c>
      <c r="B6" s="40" t="s">
        <v>721</v>
      </c>
      <c r="C6" s="40" t="s">
        <v>722</v>
      </c>
      <c r="D6" s="40" t="s">
        <v>725</v>
      </c>
      <c r="E6" s="40" t="s">
        <v>724</v>
      </c>
      <c r="F6" s="40" t="s">
        <v>741</v>
      </c>
      <c r="G6" s="40" t="s">
        <v>742</v>
      </c>
      <c r="H6" s="41" t="s">
        <v>743</v>
      </c>
      <c r="I6" s="40" t="s">
        <v>727</v>
      </c>
      <c r="J6" s="40" t="s">
        <v>727</v>
      </c>
      <c r="K6" s="40" t="s">
        <v>728</v>
      </c>
      <c r="L6" s="40" t="s">
        <v>721</v>
      </c>
      <c r="M6" s="40"/>
      <c r="N6" s="40" t="s">
        <v>721</v>
      </c>
    </row>
    <row r="7" spans="1:14" ht="14.45">
      <c r="A7" s="39" t="s">
        <v>744</v>
      </c>
      <c r="B7" s="40" t="s">
        <v>721</v>
      </c>
      <c r="C7" s="40" t="s">
        <v>722</v>
      </c>
      <c r="D7" s="40" t="s">
        <v>741</v>
      </c>
      <c r="E7" s="40" t="s">
        <v>742</v>
      </c>
      <c r="F7" s="40" t="s">
        <v>725</v>
      </c>
      <c r="G7" s="40" t="s">
        <v>739</v>
      </c>
      <c r="H7" s="41" t="s">
        <v>745</v>
      </c>
      <c r="I7" s="40" t="s">
        <v>727</v>
      </c>
      <c r="J7" s="40" t="s">
        <v>727</v>
      </c>
      <c r="K7" s="40" t="s">
        <v>728</v>
      </c>
      <c r="L7" s="40" t="s">
        <v>721</v>
      </c>
      <c r="M7" s="40"/>
      <c r="N7" s="40" t="s">
        <v>721</v>
      </c>
    </row>
    <row r="8" spans="1:14" ht="14.45">
      <c r="A8" s="39" t="s">
        <v>746</v>
      </c>
      <c r="B8" s="40" t="s">
        <v>721</v>
      </c>
      <c r="C8" s="40" t="s">
        <v>722</v>
      </c>
      <c r="D8" s="40" t="s">
        <v>741</v>
      </c>
      <c r="E8" s="40" t="s">
        <v>742</v>
      </c>
      <c r="F8" s="40" t="s">
        <v>725</v>
      </c>
      <c r="G8" s="40" t="s">
        <v>739</v>
      </c>
      <c r="H8" s="41" t="s">
        <v>745</v>
      </c>
      <c r="I8" s="40" t="s">
        <v>727</v>
      </c>
      <c r="J8" s="40" t="s">
        <v>727</v>
      </c>
      <c r="K8" s="40" t="s">
        <v>728</v>
      </c>
      <c r="L8" s="40" t="s">
        <v>721</v>
      </c>
      <c r="M8" s="40"/>
      <c r="N8" s="40" t="s">
        <v>721</v>
      </c>
    </row>
    <row r="9" spans="1:14" ht="14.45">
      <c r="A9" s="39" t="s">
        <v>747</v>
      </c>
      <c r="B9" s="40" t="s">
        <v>721</v>
      </c>
      <c r="C9" s="40" t="s">
        <v>722</v>
      </c>
      <c r="D9" s="40" t="s">
        <v>741</v>
      </c>
      <c r="E9" s="40" t="s">
        <v>742</v>
      </c>
      <c r="F9" s="40" t="s">
        <v>725</v>
      </c>
      <c r="G9" s="40" t="s">
        <v>739</v>
      </c>
      <c r="H9" s="41" t="s">
        <v>748</v>
      </c>
      <c r="I9" s="40" t="s">
        <v>727</v>
      </c>
      <c r="J9" s="40" t="s">
        <v>727</v>
      </c>
      <c r="K9" s="40" t="s">
        <v>728</v>
      </c>
      <c r="L9" s="40" t="s">
        <v>721</v>
      </c>
      <c r="M9" s="40"/>
      <c r="N9" s="40" t="s">
        <v>721</v>
      </c>
    </row>
    <row r="10" spans="1:14" ht="14.45">
      <c r="A10" s="39" t="s">
        <v>749</v>
      </c>
      <c r="B10" s="40" t="s">
        <v>721</v>
      </c>
      <c r="C10" s="40" t="s">
        <v>722</v>
      </c>
      <c r="D10" s="40" t="s">
        <v>725</v>
      </c>
      <c r="E10" s="40" t="s">
        <v>739</v>
      </c>
      <c r="F10" s="40" t="s">
        <v>741</v>
      </c>
      <c r="G10" s="40" t="s">
        <v>742</v>
      </c>
      <c r="H10" s="41" t="s">
        <v>732</v>
      </c>
      <c r="I10" s="40" t="s">
        <v>733</v>
      </c>
      <c r="J10" s="40" t="s">
        <v>727</v>
      </c>
      <c r="K10" s="40" t="s">
        <v>735</v>
      </c>
      <c r="L10" s="41" t="s">
        <v>727</v>
      </c>
      <c r="M10" s="40"/>
      <c r="N10" s="40"/>
    </row>
    <row r="11" spans="1:14" ht="14.45">
      <c r="A11" s="39" t="s">
        <v>750</v>
      </c>
      <c r="B11" s="40" t="s">
        <v>721</v>
      </c>
      <c r="C11" s="40" t="s">
        <v>722</v>
      </c>
      <c r="D11" s="40" t="s">
        <v>725</v>
      </c>
      <c r="E11" s="40" t="s">
        <v>739</v>
      </c>
      <c r="F11" s="40" t="s">
        <v>741</v>
      </c>
      <c r="G11" s="40" t="s">
        <v>742</v>
      </c>
      <c r="H11" s="41" t="s">
        <v>732</v>
      </c>
      <c r="I11" s="40" t="s">
        <v>733</v>
      </c>
      <c r="J11" s="40" t="s">
        <v>727</v>
      </c>
      <c r="K11" s="40" t="s">
        <v>735</v>
      </c>
      <c r="L11" s="41" t="s">
        <v>727</v>
      </c>
      <c r="M11" s="40"/>
      <c r="N11" s="40"/>
    </row>
    <row r="12" spans="1:14" ht="14.45">
      <c r="A12" s="39" t="s">
        <v>751</v>
      </c>
      <c r="B12" s="40" t="s">
        <v>721</v>
      </c>
      <c r="C12" s="40" t="s">
        <v>722</v>
      </c>
      <c r="D12" s="40" t="s">
        <v>725</v>
      </c>
      <c r="E12" s="40" t="s">
        <v>739</v>
      </c>
      <c r="F12" s="40" t="s">
        <v>741</v>
      </c>
      <c r="G12" s="40" t="s">
        <v>742</v>
      </c>
      <c r="H12" s="41" t="s">
        <v>732</v>
      </c>
      <c r="I12" s="40" t="s">
        <v>733</v>
      </c>
      <c r="J12" s="40" t="s">
        <v>727</v>
      </c>
      <c r="K12" s="40" t="s">
        <v>735</v>
      </c>
      <c r="L12" s="41" t="s">
        <v>727</v>
      </c>
      <c r="M12" s="40"/>
      <c r="N12" s="40"/>
    </row>
    <row r="13" spans="1:14" ht="14.45">
      <c r="A13" s="39" t="s">
        <v>752</v>
      </c>
      <c r="B13" s="40" t="s">
        <v>721</v>
      </c>
      <c r="C13" s="40" t="s">
        <v>722</v>
      </c>
      <c r="D13" s="40" t="s">
        <v>725</v>
      </c>
      <c r="E13" s="40" t="s">
        <v>739</v>
      </c>
      <c r="F13" s="40" t="s">
        <v>741</v>
      </c>
      <c r="G13" s="40" t="s">
        <v>742</v>
      </c>
      <c r="H13" s="41" t="s">
        <v>732</v>
      </c>
      <c r="I13" s="40" t="s">
        <v>733</v>
      </c>
      <c r="J13" s="40" t="s">
        <v>727</v>
      </c>
      <c r="K13" s="40" t="s">
        <v>735</v>
      </c>
      <c r="L13" s="41" t="s">
        <v>727</v>
      </c>
      <c r="M13" s="40"/>
      <c r="N13" s="40"/>
    </row>
    <row r="14" spans="1:14" ht="14.45">
      <c r="A14" s="39" t="s">
        <v>753</v>
      </c>
      <c r="B14" s="40" t="s">
        <v>721</v>
      </c>
      <c r="C14" s="40" t="s">
        <v>722</v>
      </c>
      <c r="D14" s="40" t="s">
        <v>725</v>
      </c>
      <c r="E14" s="40" t="s">
        <v>739</v>
      </c>
      <c r="F14" s="40" t="s">
        <v>741</v>
      </c>
      <c r="G14" s="40" t="s">
        <v>742</v>
      </c>
      <c r="H14" s="41" t="s">
        <v>732</v>
      </c>
      <c r="I14" s="40" t="s">
        <v>733</v>
      </c>
      <c r="J14" s="40" t="s">
        <v>727</v>
      </c>
      <c r="K14" s="40" t="s">
        <v>735</v>
      </c>
      <c r="L14" s="41" t="s">
        <v>727</v>
      </c>
      <c r="M14" s="40"/>
      <c r="N14" s="40"/>
    </row>
    <row r="15" spans="1:14" ht="14.45">
      <c r="A15" s="39" t="s">
        <v>754</v>
      </c>
      <c r="B15" s="40" t="s">
        <v>721</v>
      </c>
      <c r="C15" s="40" t="s">
        <v>722</v>
      </c>
      <c r="D15" s="40" t="s">
        <v>725</v>
      </c>
      <c r="E15" s="40" t="s">
        <v>739</v>
      </c>
      <c r="F15" s="40" t="s">
        <v>741</v>
      </c>
      <c r="G15" s="40" t="s">
        <v>742</v>
      </c>
      <c r="H15" s="41" t="s">
        <v>732</v>
      </c>
      <c r="I15" s="40" t="s">
        <v>733</v>
      </c>
      <c r="J15" s="40" t="s">
        <v>727</v>
      </c>
      <c r="K15" s="40" t="s">
        <v>735</v>
      </c>
      <c r="L15" s="41" t="s">
        <v>727</v>
      </c>
      <c r="M15" s="40"/>
      <c r="N15" s="40"/>
    </row>
    <row r="16" spans="1:14" ht="14.45">
      <c r="A16" s="39" t="s">
        <v>755</v>
      </c>
      <c r="B16" s="40" t="s">
        <v>721</v>
      </c>
      <c r="C16" s="40" t="s">
        <v>722</v>
      </c>
      <c r="D16" s="40" t="s">
        <v>725</v>
      </c>
      <c r="E16" s="40" t="s">
        <v>739</v>
      </c>
      <c r="F16" s="40" t="s">
        <v>741</v>
      </c>
      <c r="G16" s="40" t="s">
        <v>742</v>
      </c>
      <c r="H16" s="41" t="s">
        <v>732</v>
      </c>
      <c r="I16" s="40" t="s">
        <v>733</v>
      </c>
      <c r="J16" s="40" t="s">
        <v>727</v>
      </c>
      <c r="K16" s="40" t="s">
        <v>735</v>
      </c>
      <c r="L16" s="41" t="s">
        <v>727</v>
      </c>
      <c r="M16" s="40"/>
      <c r="N16" s="40"/>
    </row>
    <row r="17" spans="1:14" ht="14.45">
      <c r="A17" s="39" t="s">
        <v>756</v>
      </c>
      <c r="B17" s="40" t="s">
        <v>721</v>
      </c>
      <c r="C17" s="40" t="s">
        <v>722</v>
      </c>
      <c r="D17" s="40" t="s">
        <v>725</v>
      </c>
      <c r="E17" s="40" t="s">
        <v>739</v>
      </c>
      <c r="F17" s="40" t="s">
        <v>741</v>
      </c>
      <c r="G17" s="40" t="s">
        <v>742</v>
      </c>
      <c r="H17" s="41" t="s">
        <v>732</v>
      </c>
      <c r="I17" s="40" t="s">
        <v>733</v>
      </c>
      <c r="J17" s="40" t="s">
        <v>727</v>
      </c>
      <c r="K17" s="40" t="s">
        <v>735</v>
      </c>
      <c r="L17" s="41" t="s">
        <v>727</v>
      </c>
      <c r="M17" s="40"/>
      <c r="N17" s="40"/>
    </row>
    <row r="18" spans="1:14" ht="14.45">
      <c r="A18" s="39" t="s">
        <v>757</v>
      </c>
      <c r="B18" s="40" t="s">
        <v>721</v>
      </c>
      <c r="C18" s="40" t="s">
        <v>722</v>
      </c>
      <c r="D18" s="40" t="s">
        <v>725</v>
      </c>
      <c r="E18" s="40" t="s">
        <v>739</v>
      </c>
      <c r="F18" s="40" t="s">
        <v>741</v>
      </c>
      <c r="G18" s="40" t="s">
        <v>742</v>
      </c>
      <c r="H18" s="41" t="s">
        <v>732</v>
      </c>
      <c r="I18" s="40" t="s">
        <v>733</v>
      </c>
      <c r="J18" s="40" t="s">
        <v>727</v>
      </c>
      <c r="K18" s="40" t="s">
        <v>735</v>
      </c>
      <c r="L18" s="41" t="s">
        <v>727</v>
      </c>
      <c r="M18" s="40"/>
      <c r="N18" s="40"/>
    </row>
    <row r="19" spans="1:14" ht="14.45">
      <c r="A19" s="39" t="s">
        <v>758</v>
      </c>
      <c r="B19" s="40" t="s">
        <v>721</v>
      </c>
      <c r="C19" s="40" t="s">
        <v>722</v>
      </c>
      <c r="D19" s="40" t="s">
        <v>725</v>
      </c>
      <c r="E19" s="40" t="s">
        <v>724</v>
      </c>
      <c r="F19" s="40" t="s">
        <v>759</v>
      </c>
      <c r="G19" s="40" t="s">
        <v>760</v>
      </c>
      <c r="H19" s="41" t="s">
        <v>761</v>
      </c>
      <c r="I19" s="40" t="s">
        <v>727</v>
      </c>
      <c r="J19" s="40" t="s">
        <v>727</v>
      </c>
      <c r="K19" s="40" t="s">
        <v>728</v>
      </c>
      <c r="L19" s="40" t="s">
        <v>721</v>
      </c>
      <c r="M19" s="40"/>
      <c r="N19" s="40" t="s">
        <v>721</v>
      </c>
    </row>
    <row r="20" spans="1:14" ht="14.45">
      <c r="A20" s="39" t="s">
        <v>762</v>
      </c>
      <c r="B20" s="40" t="s">
        <v>721</v>
      </c>
      <c r="C20" s="40" t="s">
        <v>722</v>
      </c>
      <c r="D20" s="40" t="s">
        <v>725</v>
      </c>
      <c r="E20" s="40" t="s">
        <v>724</v>
      </c>
      <c r="F20" s="40" t="s">
        <v>759</v>
      </c>
      <c r="G20" s="40" t="s">
        <v>760</v>
      </c>
      <c r="H20" s="41" t="s">
        <v>763</v>
      </c>
      <c r="I20" s="40" t="s">
        <v>727</v>
      </c>
      <c r="J20" s="40" t="s">
        <v>727</v>
      </c>
      <c r="K20" s="40" t="s">
        <v>728</v>
      </c>
      <c r="L20" s="40" t="s">
        <v>721</v>
      </c>
      <c r="M20" s="40"/>
      <c r="N20" s="40" t="s">
        <v>721</v>
      </c>
    </row>
    <row r="21" spans="1:14" ht="14.45">
      <c r="A21" s="39" t="s">
        <v>764</v>
      </c>
      <c r="B21" s="40" t="s">
        <v>721</v>
      </c>
      <c r="C21" s="40" t="s">
        <v>722</v>
      </c>
      <c r="D21" s="40" t="s">
        <v>725</v>
      </c>
      <c r="E21" s="40" t="s">
        <v>724</v>
      </c>
      <c r="F21" s="40" t="s">
        <v>759</v>
      </c>
      <c r="G21" s="40" t="s">
        <v>760</v>
      </c>
      <c r="H21" s="41" t="s">
        <v>765</v>
      </c>
      <c r="I21" s="40" t="s">
        <v>727</v>
      </c>
      <c r="J21" s="40" t="s">
        <v>727</v>
      </c>
      <c r="K21" s="40" t="s">
        <v>728</v>
      </c>
      <c r="L21" s="40" t="s">
        <v>721</v>
      </c>
      <c r="M21" s="40"/>
      <c r="N21" s="40" t="s">
        <v>721</v>
      </c>
    </row>
    <row r="22" spans="1:14" ht="14.45">
      <c r="A22" s="39" t="s">
        <v>766</v>
      </c>
      <c r="B22" s="40" t="s">
        <v>721</v>
      </c>
      <c r="C22" s="40" t="s">
        <v>722</v>
      </c>
      <c r="D22" s="40" t="s">
        <v>725</v>
      </c>
      <c r="E22" s="40" t="s">
        <v>724</v>
      </c>
      <c r="F22" s="40" t="s">
        <v>759</v>
      </c>
      <c r="G22" s="40" t="s">
        <v>760</v>
      </c>
      <c r="H22" s="41" t="s">
        <v>767</v>
      </c>
      <c r="I22" s="40" t="s">
        <v>727</v>
      </c>
      <c r="J22" s="40" t="s">
        <v>727</v>
      </c>
      <c r="K22" s="40" t="s">
        <v>728</v>
      </c>
      <c r="L22" s="40" t="s">
        <v>721</v>
      </c>
      <c r="M22" s="40"/>
      <c r="N22" s="40" t="s">
        <v>721</v>
      </c>
    </row>
    <row r="23" spans="1:14" ht="14.45">
      <c r="A23" s="39" t="s">
        <v>768</v>
      </c>
      <c r="B23" s="40" t="s">
        <v>721</v>
      </c>
      <c r="C23" s="40" t="s">
        <v>722</v>
      </c>
      <c r="D23" s="40" t="s">
        <v>725</v>
      </c>
      <c r="E23" s="40" t="s">
        <v>724</v>
      </c>
      <c r="F23" s="40" t="s">
        <v>759</v>
      </c>
      <c r="G23" s="40" t="s">
        <v>760</v>
      </c>
      <c r="H23" s="41" t="s">
        <v>769</v>
      </c>
      <c r="I23" s="40" t="s">
        <v>727</v>
      </c>
      <c r="J23" s="40" t="s">
        <v>727</v>
      </c>
      <c r="K23" s="40" t="s">
        <v>728</v>
      </c>
      <c r="L23" s="40" t="s">
        <v>721</v>
      </c>
      <c r="M23" s="40"/>
      <c r="N23" s="40" t="s">
        <v>721</v>
      </c>
    </row>
    <row r="24" spans="1:14" ht="14.45">
      <c r="A24" s="39" t="s">
        <v>770</v>
      </c>
      <c r="B24" s="40" t="s">
        <v>721</v>
      </c>
      <c r="C24" s="40" t="s">
        <v>722</v>
      </c>
      <c r="D24" s="40" t="s">
        <v>725</v>
      </c>
      <c r="E24" s="40" t="s">
        <v>724</v>
      </c>
      <c r="F24" s="40" t="s">
        <v>759</v>
      </c>
      <c r="G24" s="40" t="s">
        <v>760</v>
      </c>
      <c r="H24" s="41" t="s">
        <v>771</v>
      </c>
      <c r="I24" s="40" t="s">
        <v>727</v>
      </c>
      <c r="J24" s="40" t="s">
        <v>727</v>
      </c>
      <c r="K24" s="40" t="s">
        <v>728</v>
      </c>
      <c r="L24" s="40" t="s">
        <v>721</v>
      </c>
      <c r="M24" s="40"/>
      <c r="N24" s="40" t="s">
        <v>721</v>
      </c>
    </row>
    <row r="25" spans="1:14" ht="14.45">
      <c r="A25" s="39" t="s">
        <v>772</v>
      </c>
      <c r="B25" s="40" t="s">
        <v>721</v>
      </c>
      <c r="C25" s="40" t="s">
        <v>722</v>
      </c>
      <c r="D25" s="40" t="s">
        <v>725</v>
      </c>
      <c r="E25" s="40" t="s">
        <v>724</v>
      </c>
      <c r="F25" s="40" t="s">
        <v>759</v>
      </c>
      <c r="G25" s="40" t="s">
        <v>760</v>
      </c>
      <c r="H25" s="41" t="s">
        <v>773</v>
      </c>
      <c r="I25" s="40" t="s">
        <v>727</v>
      </c>
      <c r="J25" s="40" t="s">
        <v>727</v>
      </c>
      <c r="K25" s="40" t="s">
        <v>728</v>
      </c>
      <c r="L25" s="40" t="s">
        <v>721</v>
      </c>
      <c r="M25" s="40"/>
      <c r="N25" s="40" t="s">
        <v>721</v>
      </c>
    </row>
    <row r="26" spans="1:14" ht="14.45">
      <c r="A26" s="39" t="s">
        <v>774</v>
      </c>
      <c r="B26" s="40" t="s">
        <v>721</v>
      </c>
      <c r="C26" s="40" t="s">
        <v>722</v>
      </c>
      <c r="D26" s="40" t="s">
        <v>725</v>
      </c>
      <c r="E26" s="40" t="s">
        <v>724</v>
      </c>
      <c r="F26" s="40" t="s">
        <v>759</v>
      </c>
      <c r="G26" s="40" t="s">
        <v>760</v>
      </c>
      <c r="H26" s="41" t="s">
        <v>775</v>
      </c>
      <c r="I26" s="40" t="s">
        <v>727</v>
      </c>
      <c r="J26" s="40" t="s">
        <v>727</v>
      </c>
      <c r="K26" s="40" t="s">
        <v>728</v>
      </c>
      <c r="L26" s="40" t="s">
        <v>721</v>
      </c>
      <c r="M26" s="40"/>
      <c r="N26" s="40" t="s">
        <v>721</v>
      </c>
    </row>
    <row r="27" spans="1:14" ht="14.45">
      <c r="A27" s="39" t="s">
        <v>776</v>
      </c>
      <c r="B27" s="40" t="s">
        <v>721</v>
      </c>
      <c r="C27" s="40" t="s">
        <v>722</v>
      </c>
      <c r="D27" s="40" t="s">
        <v>725</v>
      </c>
      <c r="E27" s="40" t="s">
        <v>724</v>
      </c>
      <c r="F27" s="40" t="s">
        <v>759</v>
      </c>
      <c r="G27" s="40" t="s">
        <v>760</v>
      </c>
      <c r="H27" s="41" t="s">
        <v>777</v>
      </c>
      <c r="I27" s="40" t="s">
        <v>727</v>
      </c>
      <c r="J27" s="40" t="s">
        <v>727</v>
      </c>
      <c r="K27" s="40" t="s">
        <v>728</v>
      </c>
      <c r="L27" s="40" t="s">
        <v>721</v>
      </c>
      <c r="M27" s="40"/>
      <c r="N27" s="40" t="s">
        <v>721</v>
      </c>
    </row>
    <row r="28" spans="1:14" ht="29.1">
      <c r="A28" s="39" t="s">
        <v>778</v>
      </c>
      <c r="B28" s="40" t="s">
        <v>721</v>
      </c>
      <c r="C28" s="40" t="s">
        <v>722</v>
      </c>
      <c r="D28" s="40" t="s">
        <v>725</v>
      </c>
      <c r="E28" s="40" t="s">
        <v>724</v>
      </c>
      <c r="F28" s="40" t="s">
        <v>759</v>
      </c>
      <c r="G28" s="40" t="s">
        <v>760</v>
      </c>
      <c r="H28" s="41" t="s">
        <v>779</v>
      </c>
      <c r="I28" s="40" t="s">
        <v>727</v>
      </c>
      <c r="J28" s="40" t="s">
        <v>727</v>
      </c>
      <c r="K28" s="40" t="s">
        <v>728</v>
      </c>
      <c r="L28" s="40" t="s">
        <v>721</v>
      </c>
      <c r="M28" s="40"/>
      <c r="N28" s="40" t="s">
        <v>721</v>
      </c>
    </row>
    <row r="29" spans="1:14" ht="14.45">
      <c r="A29" s="39" t="s">
        <v>780</v>
      </c>
      <c r="B29" s="40" t="s">
        <v>721</v>
      </c>
      <c r="C29" s="40" t="s">
        <v>722</v>
      </c>
      <c r="D29" s="40" t="s">
        <v>725</v>
      </c>
      <c r="E29" s="40" t="s">
        <v>724</v>
      </c>
      <c r="F29" s="40" t="s">
        <v>759</v>
      </c>
      <c r="G29" s="40" t="s">
        <v>760</v>
      </c>
      <c r="H29" s="41" t="s">
        <v>781</v>
      </c>
      <c r="I29" s="40" t="s">
        <v>727</v>
      </c>
      <c r="J29" s="40" t="s">
        <v>727</v>
      </c>
      <c r="K29" s="40" t="s">
        <v>728</v>
      </c>
      <c r="L29" s="40" t="s">
        <v>721</v>
      </c>
      <c r="M29" s="40"/>
      <c r="N29" s="40" t="s">
        <v>721</v>
      </c>
    </row>
    <row r="30" spans="1:14" ht="14.45">
      <c r="A30" s="39" t="s">
        <v>782</v>
      </c>
      <c r="B30" s="40" t="s">
        <v>721</v>
      </c>
      <c r="C30" s="40" t="s">
        <v>722</v>
      </c>
      <c r="D30" s="40" t="s">
        <v>725</v>
      </c>
      <c r="E30" s="40" t="s">
        <v>724</v>
      </c>
      <c r="F30" s="40" t="s">
        <v>759</v>
      </c>
      <c r="G30" s="40" t="s">
        <v>760</v>
      </c>
      <c r="H30" s="41" t="s">
        <v>783</v>
      </c>
      <c r="I30" s="40" t="s">
        <v>727</v>
      </c>
      <c r="J30" s="40" t="s">
        <v>727</v>
      </c>
      <c r="K30" s="40" t="s">
        <v>728</v>
      </c>
      <c r="L30" s="40" t="s">
        <v>721</v>
      </c>
      <c r="M30" s="40"/>
      <c r="N30" s="40" t="s">
        <v>721</v>
      </c>
    </row>
    <row r="31" spans="1:14" ht="14.45">
      <c r="A31" s="39" t="s">
        <v>784</v>
      </c>
      <c r="B31" s="40" t="s">
        <v>721</v>
      </c>
      <c r="C31" s="40" t="s">
        <v>722</v>
      </c>
      <c r="D31" s="40" t="s">
        <v>725</v>
      </c>
      <c r="E31" s="40" t="s">
        <v>724</v>
      </c>
      <c r="F31" s="40" t="s">
        <v>759</v>
      </c>
      <c r="G31" s="40" t="s">
        <v>760</v>
      </c>
      <c r="H31" s="41" t="s">
        <v>785</v>
      </c>
      <c r="I31" s="40" t="s">
        <v>727</v>
      </c>
      <c r="J31" s="40" t="s">
        <v>727</v>
      </c>
      <c r="K31" s="40" t="s">
        <v>728</v>
      </c>
      <c r="L31" s="40" t="s">
        <v>721</v>
      </c>
      <c r="M31" s="40"/>
      <c r="N31" s="40" t="s">
        <v>721</v>
      </c>
    </row>
    <row r="32" spans="1:14" ht="14.45">
      <c r="A32" s="39" t="s">
        <v>786</v>
      </c>
      <c r="B32" s="40" t="s">
        <v>721</v>
      </c>
      <c r="C32" s="40" t="s">
        <v>722</v>
      </c>
      <c r="D32" s="40" t="s">
        <v>725</v>
      </c>
      <c r="E32" s="40" t="s">
        <v>724</v>
      </c>
      <c r="F32" s="40" t="s">
        <v>759</v>
      </c>
      <c r="G32" s="40" t="s">
        <v>760</v>
      </c>
      <c r="H32" s="41" t="s">
        <v>787</v>
      </c>
      <c r="I32" s="40" t="s">
        <v>727</v>
      </c>
      <c r="J32" s="40" t="s">
        <v>727</v>
      </c>
      <c r="K32" s="40" t="s">
        <v>728</v>
      </c>
      <c r="L32" s="40" t="s">
        <v>721</v>
      </c>
      <c r="M32" s="40"/>
      <c r="N32" s="40" t="s">
        <v>721</v>
      </c>
    </row>
    <row r="33" spans="1:14" ht="14.45">
      <c r="A33" s="39" t="s">
        <v>788</v>
      </c>
      <c r="B33" s="40" t="s">
        <v>721</v>
      </c>
      <c r="C33" s="40" t="s">
        <v>722</v>
      </c>
      <c r="D33" s="40" t="s">
        <v>725</v>
      </c>
      <c r="E33" s="40" t="s">
        <v>724</v>
      </c>
      <c r="F33" s="40" t="s">
        <v>759</v>
      </c>
      <c r="G33" s="40" t="s">
        <v>760</v>
      </c>
      <c r="H33" s="41" t="s">
        <v>789</v>
      </c>
      <c r="I33" s="40" t="s">
        <v>727</v>
      </c>
      <c r="J33" s="40" t="s">
        <v>727</v>
      </c>
      <c r="K33" s="40" t="s">
        <v>728</v>
      </c>
      <c r="L33" s="40" t="s">
        <v>721</v>
      </c>
      <c r="M33" s="40"/>
      <c r="N33" s="40" t="s">
        <v>721</v>
      </c>
    </row>
    <row r="34" spans="1:14" ht="14.45">
      <c r="A34" s="39" t="s">
        <v>790</v>
      </c>
      <c r="B34" s="40" t="s">
        <v>721</v>
      </c>
      <c r="C34" s="40" t="s">
        <v>722</v>
      </c>
      <c r="D34" s="40" t="s">
        <v>725</v>
      </c>
      <c r="E34" s="40" t="s">
        <v>724</v>
      </c>
      <c r="F34" s="40" t="s">
        <v>759</v>
      </c>
      <c r="G34" s="40" t="s">
        <v>760</v>
      </c>
      <c r="H34" s="41" t="s">
        <v>791</v>
      </c>
      <c r="I34" s="40" t="s">
        <v>727</v>
      </c>
      <c r="J34" s="40" t="s">
        <v>727</v>
      </c>
      <c r="K34" s="40" t="s">
        <v>728</v>
      </c>
      <c r="L34" s="40" t="s">
        <v>721</v>
      </c>
      <c r="M34" s="40"/>
      <c r="N34" s="40" t="s">
        <v>721</v>
      </c>
    </row>
    <row r="35" spans="1:14" ht="14.45">
      <c r="A35" s="39" t="s">
        <v>792</v>
      </c>
      <c r="B35" s="40" t="s">
        <v>721</v>
      </c>
      <c r="C35" s="112" t="s">
        <v>722</v>
      </c>
      <c r="D35" s="40" t="s">
        <v>725</v>
      </c>
      <c r="E35" s="40" t="s">
        <v>793</v>
      </c>
      <c r="F35" s="40" t="s">
        <v>794</v>
      </c>
      <c r="G35" s="40" t="s">
        <v>795</v>
      </c>
      <c r="H35" s="41" t="s">
        <v>796</v>
      </c>
      <c r="I35" s="40" t="s">
        <v>727</v>
      </c>
      <c r="J35" s="40" t="s">
        <v>727</v>
      </c>
      <c r="K35" s="40" t="s">
        <v>728</v>
      </c>
      <c r="L35" s="40" t="s">
        <v>721</v>
      </c>
      <c r="M35" s="40"/>
      <c r="N35" s="40" t="s">
        <v>721</v>
      </c>
    </row>
    <row r="36" spans="1:14" ht="14.45">
      <c r="A36" s="39" t="s">
        <v>797</v>
      </c>
      <c r="B36" s="40" t="s">
        <v>721</v>
      </c>
      <c r="C36" s="112" t="s">
        <v>722</v>
      </c>
      <c r="D36" s="40" t="s">
        <v>725</v>
      </c>
      <c r="E36" s="40" t="s">
        <v>793</v>
      </c>
      <c r="F36" s="40" t="s">
        <v>794</v>
      </c>
      <c r="G36" s="40" t="s">
        <v>795</v>
      </c>
      <c r="H36" s="41" t="s">
        <v>798</v>
      </c>
      <c r="I36" s="40" t="s">
        <v>727</v>
      </c>
      <c r="J36" s="40" t="s">
        <v>727</v>
      </c>
      <c r="K36" s="40" t="s">
        <v>728</v>
      </c>
      <c r="L36" s="40" t="s">
        <v>721</v>
      </c>
      <c r="M36" s="40"/>
      <c r="N36" s="40" t="s">
        <v>721</v>
      </c>
    </row>
    <row r="37" spans="1:14" ht="57.95">
      <c r="A37" s="39" t="s">
        <v>799</v>
      </c>
      <c r="B37" s="40" t="s">
        <v>721</v>
      </c>
      <c r="C37" s="40" t="s">
        <v>31</v>
      </c>
      <c r="D37" s="40" t="s">
        <v>725</v>
      </c>
      <c r="E37" s="40" t="s">
        <v>793</v>
      </c>
      <c r="F37" s="41" t="s">
        <v>800</v>
      </c>
      <c r="G37" s="41" t="s">
        <v>801</v>
      </c>
      <c r="H37" s="41" t="s">
        <v>802</v>
      </c>
      <c r="I37" s="42" t="s">
        <v>803</v>
      </c>
      <c r="J37" s="40" t="s">
        <v>727</v>
      </c>
      <c r="K37" s="40" t="s">
        <v>735</v>
      </c>
      <c r="L37" s="41" t="s">
        <v>727</v>
      </c>
      <c r="M37" s="40"/>
      <c r="N37" s="40"/>
    </row>
    <row r="38" spans="1:14" ht="14.45">
      <c r="A38" s="39" t="s">
        <v>804</v>
      </c>
      <c r="B38" s="40" t="s">
        <v>721</v>
      </c>
      <c r="C38" s="40" t="s">
        <v>31</v>
      </c>
      <c r="D38" s="40" t="s">
        <v>725</v>
      </c>
      <c r="E38" s="40" t="s">
        <v>793</v>
      </c>
      <c r="F38" s="40" t="s">
        <v>805</v>
      </c>
      <c r="G38" s="41" t="s">
        <v>806</v>
      </c>
      <c r="H38" s="41" t="s">
        <v>732</v>
      </c>
      <c r="I38" s="40" t="s">
        <v>733</v>
      </c>
      <c r="J38" s="40" t="s">
        <v>727</v>
      </c>
      <c r="K38" s="40" t="s">
        <v>735</v>
      </c>
      <c r="L38" s="41" t="s">
        <v>727</v>
      </c>
      <c r="M38" s="40"/>
      <c r="N38" s="40"/>
    </row>
    <row r="39" spans="1:14" ht="29.1">
      <c r="A39" s="39" t="s">
        <v>807</v>
      </c>
      <c r="B39" s="40" t="s">
        <v>721</v>
      </c>
      <c r="C39" s="40" t="s">
        <v>722</v>
      </c>
      <c r="D39" s="40" t="s">
        <v>725</v>
      </c>
      <c r="E39" s="40" t="s">
        <v>793</v>
      </c>
      <c r="F39" s="41" t="s">
        <v>800</v>
      </c>
      <c r="G39" s="41" t="s">
        <v>801</v>
      </c>
      <c r="H39" s="41" t="s">
        <v>808</v>
      </c>
      <c r="I39" s="42" t="s">
        <v>809</v>
      </c>
      <c r="J39" s="40" t="s">
        <v>727</v>
      </c>
      <c r="K39" s="40" t="s">
        <v>735</v>
      </c>
      <c r="L39" s="41" t="s">
        <v>727</v>
      </c>
      <c r="M39" s="40"/>
      <c r="N39" s="40"/>
    </row>
    <row r="40" spans="1:14" ht="14.45">
      <c r="A40" s="39" t="s">
        <v>810</v>
      </c>
      <c r="B40" s="40" t="s">
        <v>721</v>
      </c>
      <c r="C40" s="40" t="s">
        <v>31</v>
      </c>
      <c r="D40" s="40" t="s">
        <v>725</v>
      </c>
      <c r="E40" s="40" t="s">
        <v>793</v>
      </c>
      <c r="F40" s="40" t="s">
        <v>805</v>
      </c>
      <c r="G40" s="41" t="s">
        <v>806</v>
      </c>
      <c r="H40" s="41" t="s">
        <v>732</v>
      </c>
      <c r="I40" s="40" t="s">
        <v>811</v>
      </c>
      <c r="J40" s="40" t="s">
        <v>727</v>
      </c>
      <c r="K40" s="40" t="s">
        <v>735</v>
      </c>
      <c r="L40" s="41" t="s">
        <v>727</v>
      </c>
      <c r="M40" s="40"/>
      <c r="N40" s="40"/>
    </row>
    <row r="41" spans="1:14" ht="29.1">
      <c r="A41" s="39" t="s">
        <v>812</v>
      </c>
      <c r="B41" s="40" t="s">
        <v>721</v>
      </c>
      <c r="C41" s="40" t="s">
        <v>722</v>
      </c>
      <c r="D41" s="40" t="s">
        <v>725</v>
      </c>
      <c r="E41" s="40" t="s">
        <v>793</v>
      </c>
      <c r="F41" s="41" t="s">
        <v>800</v>
      </c>
      <c r="G41" s="41" t="s">
        <v>801</v>
      </c>
      <c r="H41" s="41" t="s">
        <v>813</v>
      </c>
      <c r="I41" s="41" t="s">
        <v>814</v>
      </c>
      <c r="J41" s="40" t="s">
        <v>727</v>
      </c>
      <c r="K41" s="40" t="s">
        <v>735</v>
      </c>
      <c r="L41" s="41" t="s">
        <v>727</v>
      </c>
      <c r="M41" s="40"/>
      <c r="N41" s="40"/>
    </row>
    <row r="42" spans="1:14" ht="29.1">
      <c r="A42" s="39" t="s">
        <v>815</v>
      </c>
      <c r="B42" s="40" t="s">
        <v>721</v>
      </c>
      <c r="C42" s="40" t="s">
        <v>722</v>
      </c>
      <c r="D42" s="40" t="s">
        <v>725</v>
      </c>
      <c r="E42" s="40" t="s">
        <v>793</v>
      </c>
      <c r="F42" s="41" t="s">
        <v>800</v>
      </c>
      <c r="G42" s="41" t="s">
        <v>801</v>
      </c>
      <c r="H42" s="41" t="s">
        <v>808</v>
      </c>
      <c r="I42" s="40" t="s">
        <v>809</v>
      </c>
      <c r="J42" s="40" t="s">
        <v>816</v>
      </c>
      <c r="K42" s="40" t="s">
        <v>735</v>
      </c>
      <c r="L42" s="41" t="s">
        <v>727</v>
      </c>
      <c r="M42" s="40"/>
      <c r="N42" s="40"/>
    </row>
    <row r="43" spans="1:14" ht="43.5">
      <c r="A43" s="39" t="s">
        <v>816</v>
      </c>
      <c r="B43" s="40" t="s">
        <v>721</v>
      </c>
      <c r="C43" s="40" t="s">
        <v>722</v>
      </c>
      <c r="D43" s="40" t="s">
        <v>725</v>
      </c>
      <c r="E43" s="40" t="s">
        <v>731</v>
      </c>
      <c r="F43" s="40" t="s">
        <v>806</v>
      </c>
      <c r="G43" s="41" t="s">
        <v>806</v>
      </c>
      <c r="H43" s="41" t="s">
        <v>817</v>
      </c>
      <c r="I43" s="40" t="s">
        <v>809</v>
      </c>
      <c r="J43" s="40" t="s">
        <v>727</v>
      </c>
      <c r="K43" s="40" t="s">
        <v>735</v>
      </c>
      <c r="L43" s="41" t="s">
        <v>727</v>
      </c>
      <c r="M43" s="40"/>
      <c r="N43" s="40"/>
    </row>
    <row r="44" spans="1:14" ht="43.5">
      <c r="A44" s="39" t="s">
        <v>818</v>
      </c>
      <c r="B44" s="40" t="s">
        <v>721</v>
      </c>
      <c r="C44" s="40" t="s">
        <v>31</v>
      </c>
      <c r="D44" s="40" t="s">
        <v>725</v>
      </c>
      <c r="E44" s="40" t="s">
        <v>793</v>
      </c>
      <c r="F44" s="41" t="s">
        <v>800</v>
      </c>
      <c r="G44" s="41" t="s">
        <v>801</v>
      </c>
      <c r="H44" s="41" t="s">
        <v>819</v>
      </c>
      <c r="I44" s="43" t="s">
        <v>820</v>
      </c>
      <c r="J44" s="40" t="s">
        <v>727</v>
      </c>
      <c r="K44" s="40" t="s">
        <v>735</v>
      </c>
      <c r="L44" s="41" t="s">
        <v>727</v>
      </c>
      <c r="M44" s="40"/>
      <c r="N44" s="40"/>
    </row>
    <row r="45" spans="1:14" ht="29.1">
      <c r="A45" s="39" t="s">
        <v>821</v>
      </c>
      <c r="B45" s="40" t="s">
        <v>721</v>
      </c>
      <c r="C45" s="40" t="s">
        <v>822</v>
      </c>
      <c r="D45" s="40" t="s">
        <v>725</v>
      </c>
      <c r="E45" s="40" t="s">
        <v>724</v>
      </c>
      <c r="F45" s="41" t="s">
        <v>823</v>
      </c>
      <c r="G45" s="41" t="s">
        <v>731</v>
      </c>
      <c r="H45" s="41" t="s">
        <v>824</v>
      </c>
      <c r="I45" s="41" t="s">
        <v>825</v>
      </c>
      <c r="J45" s="41" t="s">
        <v>826</v>
      </c>
      <c r="K45" s="40" t="s">
        <v>735</v>
      </c>
      <c r="L45" s="41" t="s">
        <v>727</v>
      </c>
      <c r="M45" s="40"/>
      <c r="N45" s="40"/>
    </row>
    <row r="46" spans="1:14" ht="29.1">
      <c r="A46" s="39" t="s">
        <v>827</v>
      </c>
      <c r="B46" s="40" t="s">
        <v>721</v>
      </c>
      <c r="C46" s="40" t="s">
        <v>822</v>
      </c>
      <c r="D46" s="40" t="s">
        <v>725</v>
      </c>
      <c r="E46" s="40" t="s">
        <v>731</v>
      </c>
      <c r="F46" s="41" t="s">
        <v>794</v>
      </c>
      <c r="G46" s="41" t="s">
        <v>795</v>
      </c>
      <c r="H46" s="41" t="s">
        <v>824</v>
      </c>
      <c r="I46" s="41" t="s">
        <v>825</v>
      </c>
      <c r="J46" s="40" t="s">
        <v>727</v>
      </c>
      <c r="K46" s="40" t="s">
        <v>735</v>
      </c>
      <c r="L46" s="41" t="s">
        <v>727</v>
      </c>
      <c r="M46" s="40"/>
      <c r="N46" s="40"/>
    </row>
    <row r="47" spans="1:14" ht="29.1">
      <c r="A47" s="39" t="s">
        <v>828</v>
      </c>
      <c r="B47" s="40" t="s">
        <v>721</v>
      </c>
      <c r="C47" s="40" t="s">
        <v>822</v>
      </c>
      <c r="D47" s="40" t="s">
        <v>725</v>
      </c>
      <c r="E47" s="40" t="s">
        <v>731</v>
      </c>
      <c r="F47" s="41" t="s">
        <v>794</v>
      </c>
      <c r="G47" s="41" t="s">
        <v>795</v>
      </c>
      <c r="H47" s="41" t="s">
        <v>824</v>
      </c>
      <c r="I47" s="41" t="s">
        <v>825</v>
      </c>
      <c r="J47" s="40" t="s">
        <v>727</v>
      </c>
      <c r="K47" s="40" t="s">
        <v>735</v>
      </c>
      <c r="L47" s="41" t="s">
        <v>727</v>
      </c>
      <c r="M47" s="40"/>
      <c r="N47" s="40"/>
    </row>
    <row r="48" spans="1:14" ht="43.5">
      <c r="A48" s="39" t="s">
        <v>829</v>
      </c>
      <c r="B48" s="40" t="s">
        <v>721</v>
      </c>
      <c r="C48" s="40" t="s">
        <v>31</v>
      </c>
      <c r="D48" s="40" t="s">
        <v>725</v>
      </c>
      <c r="E48" s="40" t="s">
        <v>793</v>
      </c>
      <c r="F48" s="41" t="s">
        <v>830</v>
      </c>
      <c r="G48" s="41" t="s">
        <v>831</v>
      </c>
      <c r="H48" s="41" t="s">
        <v>832</v>
      </c>
      <c r="I48" s="41" t="s">
        <v>833</v>
      </c>
      <c r="J48" s="40" t="s">
        <v>727</v>
      </c>
      <c r="K48" s="40" t="s">
        <v>735</v>
      </c>
      <c r="L48" s="41" t="s">
        <v>727</v>
      </c>
      <c r="M48" s="40"/>
      <c r="N48" s="40"/>
    </row>
    <row r="49" spans="1:14" ht="43.5">
      <c r="A49" s="39" t="s">
        <v>834</v>
      </c>
      <c r="B49" s="40" t="s">
        <v>721</v>
      </c>
      <c r="C49" s="40" t="s">
        <v>31</v>
      </c>
      <c r="D49" s="40" t="s">
        <v>725</v>
      </c>
      <c r="E49" s="40" t="s">
        <v>731</v>
      </c>
      <c r="F49" s="41" t="s">
        <v>794</v>
      </c>
      <c r="G49" s="41" t="s">
        <v>795</v>
      </c>
      <c r="H49" s="41" t="s">
        <v>832</v>
      </c>
      <c r="I49" s="41" t="s">
        <v>833</v>
      </c>
      <c r="J49" s="40" t="s">
        <v>727</v>
      </c>
      <c r="K49" s="40" t="s">
        <v>735</v>
      </c>
      <c r="L49" s="41" t="s">
        <v>727</v>
      </c>
      <c r="M49" s="40"/>
      <c r="N49" s="40"/>
    </row>
    <row r="50" spans="1:14" ht="29.1">
      <c r="A50" s="39" t="s">
        <v>835</v>
      </c>
      <c r="B50" s="40" t="s">
        <v>721</v>
      </c>
      <c r="C50" s="40" t="s">
        <v>31</v>
      </c>
      <c r="D50" s="40" t="s">
        <v>725</v>
      </c>
      <c r="E50" s="40" t="s">
        <v>793</v>
      </c>
      <c r="F50" s="41" t="s">
        <v>794</v>
      </c>
      <c r="G50" s="41" t="s">
        <v>795</v>
      </c>
      <c r="H50" s="41" t="s">
        <v>836</v>
      </c>
      <c r="I50" s="40" t="s">
        <v>727</v>
      </c>
      <c r="J50" s="40" t="s">
        <v>727</v>
      </c>
      <c r="K50" s="40" t="s">
        <v>728</v>
      </c>
      <c r="L50" s="40" t="s">
        <v>721</v>
      </c>
      <c r="M50" s="40"/>
      <c r="N50" s="40" t="s">
        <v>721</v>
      </c>
    </row>
    <row r="51" spans="1:14" ht="29.1">
      <c r="A51" s="39" t="s">
        <v>837</v>
      </c>
      <c r="B51" s="40" t="s">
        <v>721</v>
      </c>
      <c r="C51" s="40" t="s">
        <v>31</v>
      </c>
      <c r="D51" s="40" t="s">
        <v>725</v>
      </c>
      <c r="E51" s="40" t="s">
        <v>793</v>
      </c>
      <c r="F51" s="41" t="s">
        <v>794</v>
      </c>
      <c r="G51" s="41" t="s">
        <v>795</v>
      </c>
      <c r="H51" s="41" t="s">
        <v>836</v>
      </c>
      <c r="I51" s="40" t="s">
        <v>727</v>
      </c>
      <c r="J51" s="40" t="s">
        <v>727</v>
      </c>
      <c r="K51" s="40" t="s">
        <v>728</v>
      </c>
      <c r="L51" s="40" t="s">
        <v>721</v>
      </c>
      <c r="M51" s="40"/>
      <c r="N51" s="40" t="s">
        <v>721</v>
      </c>
    </row>
    <row r="52" spans="1:14" ht="29.1">
      <c r="A52" s="39" t="s">
        <v>838</v>
      </c>
      <c r="B52" s="40" t="s">
        <v>721</v>
      </c>
      <c r="C52" s="40" t="s">
        <v>31</v>
      </c>
      <c r="D52" s="40" t="s">
        <v>725</v>
      </c>
      <c r="E52" s="40" t="s">
        <v>793</v>
      </c>
      <c r="F52" s="40" t="s">
        <v>806</v>
      </c>
      <c r="G52" s="41" t="s">
        <v>806</v>
      </c>
      <c r="H52" s="41" t="s">
        <v>839</v>
      </c>
      <c r="I52" s="40" t="s">
        <v>840</v>
      </c>
      <c r="J52" s="40" t="s">
        <v>727</v>
      </c>
      <c r="K52" s="40" t="s">
        <v>735</v>
      </c>
      <c r="L52" s="41" t="s">
        <v>727</v>
      </c>
      <c r="M52" s="40"/>
      <c r="N52" s="40"/>
    </row>
    <row r="53" spans="1:14" ht="29.1">
      <c r="A53" s="39" t="s">
        <v>841</v>
      </c>
      <c r="B53" s="40" t="s">
        <v>721</v>
      </c>
      <c r="C53" s="40" t="s">
        <v>31</v>
      </c>
      <c r="D53" s="40" t="s">
        <v>725</v>
      </c>
      <c r="E53" s="40" t="s">
        <v>793</v>
      </c>
      <c r="F53" s="40" t="s">
        <v>806</v>
      </c>
      <c r="G53" s="41" t="s">
        <v>806</v>
      </c>
      <c r="H53" s="41" t="s">
        <v>842</v>
      </c>
      <c r="I53" s="40" t="s">
        <v>843</v>
      </c>
      <c r="J53" s="40" t="s">
        <v>727</v>
      </c>
      <c r="K53" s="40" t="s">
        <v>735</v>
      </c>
      <c r="L53" s="41" t="s">
        <v>727</v>
      </c>
      <c r="M53" s="40"/>
      <c r="N53" s="40"/>
    </row>
    <row r="54" spans="1:14" ht="29.1">
      <c r="A54" s="39" t="s">
        <v>844</v>
      </c>
      <c r="B54" s="40" t="s">
        <v>721</v>
      </c>
      <c r="C54" s="40" t="s">
        <v>31</v>
      </c>
      <c r="D54" s="40" t="s">
        <v>725</v>
      </c>
      <c r="E54" s="40" t="s">
        <v>793</v>
      </c>
      <c r="F54" s="41" t="s">
        <v>794</v>
      </c>
      <c r="G54" s="41" t="s">
        <v>795</v>
      </c>
      <c r="H54" s="41" t="s">
        <v>845</v>
      </c>
      <c r="I54" s="40" t="s">
        <v>811</v>
      </c>
      <c r="J54" s="40" t="s">
        <v>727</v>
      </c>
      <c r="K54" s="40" t="s">
        <v>735</v>
      </c>
      <c r="L54" s="41" t="s">
        <v>727</v>
      </c>
      <c r="M54" s="40"/>
      <c r="N54" s="40"/>
    </row>
    <row r="55" spans="1:14" ht="29.1">
      <c r="A55" s="39" t="s">
        <v>846</v>
      </c>
      <c r="B55" s="40" t="s">
        <v>721</v>
      </c>
      <c r="C55" s="40" t="s">
        <v>31</v>
      </c>
      <c r="D55" s="40" t="s">
        <v>794</v>
      </c>
      <c r="E55" s="40" t="s">
        <v>795</v>
      </c>
      <c r="F55" s="40" t="s">
        <v>794</v>
      </c>
      <c r="G55" s="40" t="s">
        <v>795</v>
      </c>
      <c r="H55" s="41" t="s">
        <v>847</v>
      </c>
      <c r="I55" s="40" t="s">
        <v>727</v>
      </c>
      <c r="J55" s="40" t="s">
        <v>727</v>
      </c>
      <c r="K55" s="40" t="s">
        <v>728</v>
      </c>
      <c r="L55" s="40" t="s">
        <v>721</v>
      </c>
      <c r="M55" s="40"/>
      <c r="N55" s="40" t="s">
        <v>721</v>
      </c>
    </row>
    <row r="56" spans="1:14" ht="29.1">
      <c r="A56" s="39" t="s">
        <v>848</v>
      </c>
      <c r="B56" s="40" t="s">
        <v>721</v>
      </c>
      <c r="C56" s="40" t="s">
        <v>722</v>
      </c>
      <c r="D56" s="40" t="s">
        <v>794</v>
      </c>
      <c r="E56" s="40" t="s">
        <v>795</v>
      </c>
      <c r="F56" s="40" t="s">
        <v>806</v>
      </c>
      <c r="G56" s="41" t="s">
        <v>806</v>
      </c>
      <c r="H56" s="41" t="s">
        <v>849</v>
      </c>
      <c r="I56" s="40" t="s">
        <v>727</v>
      </c>
      <c r="J56" s="40" t="s">
        <v>727</v>
      </c>
      <c r="K56" s="40" t="s">
        <v>728</v>
      </c>
      <c r="L56" s="40" t="s">
        <v>721</v>
      </c>
      <c r="M56" s="40"/>
      <c r="N56" s="40" t="s">
        <v>721</v>
      </c>
    </row>
    <row r="57" spans="1:14" ht="29.1">
      <c r="A57" s="39" t="s">
        <v>850</v>
      </c>
      <c r="B57" s="40" t="s">
        <v>721</v>
      </c>
      <c r="C57" s="40" t="s">
        <v>31</v>
      </c>
      <c r="D57" s="40" t="s">
        <v>794</v>
      </c>
      <c r="E57" s="40" t="s">
        <v>795</v>
      </c>
      <c r="F57" s="40" t="s">
        <v>851</v>
      </c>
      <c r="G57" s="40" t="s">
        <v>742</v>
      </c>
      <c r="H57" s="41" t="s">
        <v>852</v>
      </c>
      <c r="I57" s="40" t="s">
        <v>727</v>
      </c>
      <c r="J57" s="40" t="s">
        <v>727</v>
      </c>
      <c r="K57" s="40" t="s">
        <v>728</v>
      </c>
      <c r="L57" s="40" t="s">
        <v>721</v>
      </c>
      <c r="M57" s="40"/>
      <c r="N57" s="40" t="s">
        <v>721</v>
      </c>
    </row>
    <row r="58" spans="1:14" ht="29.1">
      <c r="A58" s="39" t="s">
        <v>853</v>
      </c>
      <c r="B58" s="40" t="s">
        <v>721</v>
      </c>
      <c r="C58" s="40" t="s">
        <v>31</v>
      </c>
      <c r="D58" s="40" t="s">
        <v>725</v>
      </c>
      <c r="E58" s="40" t="s">
        <v>731</v>
      </c>
      <c r="F58" s="40" t="s">
        <v>851</v>
      </c>
      <c r="G58" s="40" t="s">
        <v>742</v>
      </c>
      <c r="H58" s="41" t="s">
        <v>845</v>
      </c>
      <c r="I58" s="40" t="s">
        <v>733</v>
      </c>
      <c r="J58" s="41" t="s">
        <v>854</v>
      </c>
      <c r="K58" s="40" t="s">
        <v>735</v>
      </c>
      <c r="L58" s="41" t="s">
        <v>727</v>
      </c>
      <c r="M58" s="40"/>
      <c r="N58" s="40"/>
    </row>
    <row r="59" spans="1:14" ht="29.1">
      <c r="A59" s="39" t="s">
        <v>855</v>
      </c>
      <c r="B59" s="40" t="s">
        <v>721</v>
      </c>
      <c r="C59" s="40" t="s">
        <v>31</v>
      </c>
      <c r="D59" s="40" t="s">
        <v>51</v>
      </c>
      <c r="E59" s="40" t="s">
        <v>795</v>
      </c>
      <c r="F59" s="40" t="s">
        <v>856</v>
      </c>
      <c r="G59" s="40" t="s">
        <v>857</v>
      </c>
      <c r="H59" s="41" t="s">
        <v>858</v>
      </c>
      <c r="I59" s="40" t="s">
        <v>727</v>
      </c>
      <c r="J59" s="40" t="s">
        <v>727</v>
      </c>
      <c r="K59" s="40" t="s">
        <v>728</v>
      </c>
      <c r="L59" s="40" t="s">
        <v>721</v>
      </c>
      <c r="M59" s="40"/>
      <c r="N59" s="40" t="s">
        <v>721</v>
      </c>
    </row>
    <row r="60" spans="1:14" ht="43.5">
      <c r="A60" s="39" t="s">
        <v>859</v>
      </c>
      <c r="B60" s="40" t="s">
        <v>721</v>
      </c>
      <c r="C60" s="40" t="s">
        <v>31</v>
      </c>
      <c r="D60" s="40" t="s">
        <v>860</v>
      </c>
      <c r="E60" s="40" t="s">
        <v>861</v>
      </c>
      <c r="F60" s="40" t="s">
        <v>725</v>
      </c>
      <c r="G60" s="40" t="s">
        <v>739</v>
      </c>
      <c r="H60" s="41" t="s">
        <v>862</v>
      </c>
      <c r="I60" s="40" t="s">
        <v>727</v>
      </c>
      <c r="J60" s="40" t="s">
        <v>727</v>
      </c>
      <c r="K60" s="40" t="s">
        <v>728</v>
      </c>
      <c r="L60" s="40" t="s">
        <v>721</v>
      </c>
      <c r="M60" s="40"/>
      <c r="N60" s="40" t="s">
        <v>721</v>
      </c>
    </row>
    <row r="61" spans="1:14" ht="29.1">
      <c r="A61" s="39" t="s">
        <v>863</v>
      </c>
      <c r="B61" s="40" t="s">
        <v>721</v>
      </c>
      <c r="C61" s="40" t="s">
        <v>31</v>
      </c>
      <c r="D61" s="40" t="s">
        <v>725</v>
      </c>
      <c r="E61" s="40" t="s">
        <v>731</v>
      </c>
      <c r="F61" s="40" t="s">
        <v>864</v>
      </c>
      <c r="G61" s="40" t="s">
        <v>861</v>
      </c>
      <c r="H61" s="41" t="s">
        <v>865</v>
      </c>
      <c r="I61" s="40" t="s">
        <v>727</v>
      </c>
      <c r="J61" s="40" t="s">
        <v>866</v>
      </c>
      <c r="K61" s="40" t="s">
        <v>735</v>
      </c>
      <c r="L61" s="41" t="s">
        <v>727</v>
      </c>
      <c r="M61" s="40"/>
      <c r="N61" s="40"/>
    </row>
    <row r="62" spans="1:14" ht="14.45">
      <c r="A62" s="39" t="s">
        <v>867</v>
      </c>
      <c r="B62" s="40" t="s">
        <v>868</v>
      </c>
      <c r="C62" s="40" t="s">
        <v>31</v>
      </c>
      <c r="D62" s="40" t="s">
        <v>725</v>
      </c>
      <c r="E62" s="40" t="s">
        <v>731</v>
      </c>
      <c r="F62" s="40" t="s">
        <v>864</v>
      </c>
      <c r="G62" s="40" t="s">
        <v>861</v>
      </c>
      <c r="H62" s="40" t="s">
        <v>725</v>
      </c>
      <c r="I62" s="40" t="s">
        <v>733</v>
      </c>
      <c r="J62" s="40" t="s">
        <v>854</v>
      </c>
      <c r="K62" s="40" t="s">
        <v>735</v>
      </c>
      <c r="L62" s="41" t="s">
        <v>727</v>
      </c>
      <c r="M62" s="40"/>
      <c r="N62" s="40"/>
    </row>
    <row r="63" spans="1:14" ht="29.1">
      <c r="A63" s="39" t="s">
        <v>869</v>
      </c>
      <c r="B63" s="40" t="s">
        <v>721</v>
      </c>
      <c r="C63" s="40" t="s">
        <v>31</v>
      </c>
      <c r="D63" s="40" t="s">
        <v>870</v>
      </c>
      <c r="E63" s="40" t="s">
        <v>724</v>
      </c>
      <c r="F63" s="40" t="s">
        <v>871</v>
      </c>
      <c r="G63" s="40" t="s">
        <v>793</v>
      </c>
      <c r="H63" s="41" t="s">
        <v>872</v>
      </c>
      <c r="I63" s="40" t="s">
        <v>727</v>
      </c>
      <c r="J63" s="40" t="s">
        <v>727</v>
      </c>
      <c r="K63" s="40" t="s">
        <v>728</v>
      </c>
      <c r="L63" s="40" t="s">
        <v>721</v>
      </c>
      <c r="M63" s="40"/>
      <c r="N63" s="40" t="s">
        <v>721</v>
      </c>
    </row>
    <row r="64" spans="1:14" ht="29.1">
      <c r="A64" s="39" t="s">
        <v>873</v>
      </c>
      <c r="B64" s="40" t="s">
        <v>721</v>
      </c>
      <c r="C64" s="40" t="s">
        <v>31</v>
      </c>
      <c r="D64" s="40" t="s">
        <v>870</v>
      </c>
      <c r="E64" s="40" t="s">
        <v>739</v>
      </c>
      <c r="F64" s="40" t="s">
        <v>725</v>
      </c>
      <c r="G64" s="40" t="s">
        <v>739</v>
      </c>
      <c r="H64" s="41" t="s">
        <v>872</v>
      </c>
      <c r="I64" s="40" t="s">
        <v>727</v>
      </c>
      <c r="J64" s="40" t="s">
        <v>727</v>
      </c>
      <c r="K64" s="40" t="s">
        <v>728</v>
      </c>
      <c r="L64" s="40" t="s">
        <v>721</v>
      </c>
      <c r="M64" s="40"/>
      <c r="N64" s="40" t="s">
        <v>721</v>
      </c>
    </row>
    <row r="65" spans="1:14" ht="29.1">
      <c r="A65" s="39" t="s">
        <v>874</v>
      </c>
      <c r="B65" s="40" t="s">
        <v>721</v>
      </c>
      <c r="C65" s="40" t="s">
        <v>31</v>
      </c>
      <c r="D65" s="40" t="s">
        <v>725</v>
      </c>
      <c r="E65" s="40" t="s">
        <v>731</v>
      </c>
      <c r="F65" s="40" t="s">
        <v>870</v>
      </c>
      <c r="G65" s="40" t="s">
        <v>742</v>
      </c>
      <c r="H65" s="41" t="s">
        <v>865</v>
      </c>
      <c r="I65" s="40" t="s">
        <v>733</v>
      </c>
      <c r="J65" s="40" t="s">
        <v>854</v>
      </c>
      <c r="K65" s="40" t="s">
        <v>735</v>
      </c>
      <c r="L65" s="41" t="s">
        <v>727</v>
      </c>
      <c r="M65" s="40"/>
      <c r="N65" s="40" t="s">
        <v>721</v>
      </c>
    </row>
    <row r="66" spans="1:14" ht="29.1">
      <c r="A66" s="39" t="s">
        <v>875</v>
      </c>
      <c r="B66" s="40" t="s">
        <v>721</v>
      </c>
      <c r="C66" s="40" t="s">
        <v>31</v>
      </c>
      <c r="D66" s="40" t="s">
        <v>725</v>
      </c>
      <c r="E66" s="40" t="s">
        <v>731</v>
      </c>
      <c r="F66" s="40" t="s">
        <v>870</v>
      </c>
      <c r="G66" s="40" t="s">
        <v>742</v>
      </c>
      <c r="H66" s="41" t="s">
        <v>865</v>
      </c>
      <c r="I66" s="40" t="s">
        <v>733</v>
      </c>
      <c r="J66" s="40" t="s">
        <v>854</v>
      </c>
      <c r="K66" s="40" t="s">
        <v>735</v>
      </c>
      <c r="L66" s="41" t="s">
        <v>727</v>
      </c>
      <c r="M66" s="40"/>
      <c r="N66" s="40" t="s">
        <v>721</v>
      </c>
    </row>
    <row r="67" spans="1:14" ht="29.1">
      <c r="A67" s="39" t="s">
        <v>876</v>
      </c>
      <c r="B67" s="40" t="s">
        <v>868</v>
      </c>
      <c r="C67" s="40" t="s">
        <v>31</v>
      </c>
      <c r="D67" s="40" t="s">
        <v>725</v>
      </c>
      <c r="E67" s="40" t="s">
        <v>731</v>
      </c>
      <c r="F67" s="40" t="s">
        <v>870</v>
      </c>
      <c r="G67" s="40" t="s">
        <v>742</v>
      </c>
      <c r="H67" s="41" t="s">
        <v>865</v>
      </c>
      <c r="I67" s="40" t="s">
        <v>733</v>
      </c>
      <c r="J67" s="40" t="s">
        <v>854</v>
      </c>
      <c r="K67" s="40" t="s">
        <v>735</v>
      </c>
      <c r="L67" s="41" t="s">
        <v>727</v>
      </c>
      <c r="M67" s="40"/>
      <c r="N67" s="40" t="s">
        <v>721</v>
      </c>
    </row>
    <row r="68" spans="1:14" ht="29.1">
      <c r="A68" s="39" t="s">
        <v>877</v>
      </c>
      <c r="B68" s="40" t="s">
        <v>721</v>
      </c>
      <c r="C68" s="40" t="s">
        <v>31</v>
      </c>
      <c r="D68" s="40" t="s">
        <v>725</v>
      </c>
      <c r="E68" s="40" t="s">
        <v>731</v>
      </c>
      <c r="F68" s="40" t="s">
        <v>870</v>
      </c>
      <c r="G68" s="40" t="s">
        <v>742</v>
      </c>
      <c r="H68" s="41" t="s">
        <v>865</v>
      </c>
      <c r="I68" s="40" t="s">
        <v>733</v>
      </c>
      <c r="J68" s="40" t="s">
        <v>854</v>
      </c>
      <c r="K68" s="40" t="s">
        <v>735</v>
      </c>
      <c r="L68" s="41" t="s">
        <v>727</v>
      </c>
      <c r="M68" s="40"/>
      <c r="N68" s="40" t="s">
        <v>721</v>
      </c>
    </row>
    <row r="69" spans="1:14" ht="29.1">
      <c r="A69" s="39" t="s">
        <v>878</v>
      </c>
      <c r="B69" s="40" t="s">
        <v>721</v>
      </c>
      <c r="C69" s="40" t="s">
        <v>31</v>
      </c>
      <c r="D69" s="40" t="s">
        <v>51</v>
      </c>
      <c r="E69" s="40" t="s">
        <v>724</v>
      </c>
      <c r="F69" s="40" t="s">
        <v>725</v>
      </c>
      <c r="G69" s="40" t="s">
        <v>739</v>
      </c>
      <c r="H69" s="41" t="s">
        <v>872</v>
      </c>
      <c r="I69" s="40" t="s">
        <v>727</v>
      </c>
      <c r="J69" s="40" t="s">
        <v>727</v>
      </c>
      <c r="K69" s="40" t="s">
        <v>728</v>
      </c>
      <c r="L69" s="40" t="s">
        <v>721</v>
      </c>
      <c r="M69" s="40"/>
      <c r="N69" s="40" t="s">
        <v>721</v>
      </c>
    </row>
    <row r="70" spans="1:14" ht="29.1">
      <c r="A70" s="39" t="s">
        <v>879</v>
      </c>
      <c r="B70" s="40" t="s">
        <v>721</v>
      </c>
      <c r="C70" s="40" t="s">
        <v>31</v>
      </c>
      <c r="D70" s="40" t="s">
        <v>51</v>
      </c>
      <c r="E70" s="40" t="s">
        <v>724</v>
      </c>
      <c r="F70" s="40" t="s">
        <v>725</v>
      </c>
      <c r="G70" s="40" t="s">
        <v>880</v>
      </c>
      <c r="H70" s="41" t="s">
        <v>872</v>
      </c>
      <c r="I70" s="40" t="s">
        <v>727</v>
      </c>
      <c r="J70" s="40" t="s">
        <v>727</v>
      </c>
      <c r="K70" s="40" t="s">
        <v>728</v>
      </c>
      <c r="L70" s="40" t="s">
        <v>721</v>
      </c>
      <c r="M70" s="40"/>
      <c r="N70" s="40" t="s">
        <v>721</v>
      </c>
    </row>
    <row r="71" spans="1:14" ht="116.1">
      <c r="A71" s="39" t="s">
        <v>881</v>
      </c>
      <c r="B71" s="40" t="s">
        <v>721</v>
      </c>
      <c r="C71" s="40" t="s">
        <v>31</v>
      </c>
      <c r="D71" s="40" t="s">
        <v>725</v>
      </c>
      <c r="E71" s="40" t="s">
        <v>793</v>
      </c>
      <c r="F71" s="40" t="s">
        <v>51</v>
      </c>
      <c r="G71" s="40" t="s">
        <v>739</v>
      </c>
      <c r="H71" s="41" t="s">
        <v>882</v>
      </c>
      <c r="I71" s="40" t="s">
        <v>727</v>
      </c>
      <c r="J71" s="40" t="s">
        <v>727</v>
      </c>
      <c r="K71" s="41" t="s">
        <v>883</v>
      </c>
      <c r="L71" s="41" t="s">
        <v>727</v>
      </c>
      <c r="M71" s="40"/>
      <c r="N71" s="40"/>
    </row>
    <row r="72" spans="1:14" ht="29.1">
      <c r="A72" s="39" t="s">
        <v>884</v>
      </c>
      <c r="B72" s="40" t="s">
        <v>721</v>
      </c>
      <c r="C72" s="40" t="s">
        <v>722</v>
      </c>
      <c r="D72" s="40" t="s">
        <v>805</v>
      </c>
      <c r="E72" s="40" t="s">
        <v>885</v>
      </c>
      <c r="F72" s="40" t="s">
        <v>51</v>
      </c>
      <c r="G72" s="40" t="s">
        <v>739</v>
      </c>
      <c r="H72" s="41" t="s">
        <v>886</v>
      </c>
      <c r="I72" s="40" t="s">
        <v>727</v>
      </c>
      <c r="J72" s="40" t="s">
        <v>727</v>
      </c>
      <c r="K72" s="40" t="s">
        <v>728</v>
      </c>
      <c r="L72" s="40" t="s">
        <v>721</v>
      </c>
      <c r="M72" s="40"/>
      <c r="N72" s="40" t="s">
        <v>721</v>
      </c>
    </row>
    <row r="73" spans="1:14" ht="29.1">
      <c r="A73" s="39" t="s">
        <v>887</v>
      </c>
      <c r="B73" s="40" t="s">
        <v>721</v>
      </c>
      <c r="C73" s="40" t="s">
        <v>31</v>
      </c>
      <c r="D73" s="40" t="s">
        <v>725</v>
      </c>
      <c r="E73" s="40" t="s">
        <v>731</v>
      </c>
      <c r="F73" s="41" t="s">
        <v>888</v>
      </c>
      <c r="G73" s="41" t="s">
        <v>889</v>
      </c>
      <c r="H73" s="41" t="s">
        <v>865</v>
      </c>
      <c r="I73" s="40" t="s">
        <v>727</v>
      </c>
      <c r="J73" s="40" t="s">
        <v>854</v>
      </c>
      <c r="K73" s="40" t="s">
        <v>735</v>
      </c>
      <c r="L73" s="41" t="s">
        <v>727</v>
      </c>
      <c r="M73" s="40"/>
      <c r="N73" s="40" t="s">
        <v>721</v>
      </c>
    </row>
    <row r="74" spans="1:14" ht="57.95">
      <c r="A74" s="39" t="s">
        <v>890</v>
      </c>
      <c r="B74" s="40" t="s">
        <v>721</v>
      </c>
      <c r="C74" s="40" t="s">
        <v>31</v>
      </c>
      <c r="D74" s="40" t="s">
        <v>725</v>
      </c>
      <c r="E74" s="40" t="s">
        <v>731</v>
      </c>
      <c r="F74" s="41" t="s">
        <v>888</v>
      </c>
      <c r="G74" s="41" t="s">
        <v>889</v>
      </c>
      <c r="H74" s="41" t="s">
        <v>891</v>
      </c>
      <c r="I74" s="40" t="s">
        <v>733</v>
      </c>
      <c r="J74" s="40" t="s">
        <v>854</v>
      </c>
      <c r="K74" s="40" t="s">
        <v>735</v>
      </c>
      <c r="L74" s="41" t="s">
        <v>727</v>
      </c>
      <c r="M74" s="40"/>
      <c r="N74" s="40" t="s">
        <v>721</v>
      </c>
    </row>
    <row r="75" spans="1:14" ht="57.95">
      <c r="A75" s="39" t="s">
        <v>892</v>
      </c>
      <c r="B75" s="35" t="s">
        <v>721</v>
      </c>
      <c r="C75" s="40" t="s">
        <v>31</v>
      </c>
      <c r="D75" s="40" t="s">
        <v>725</v>
      </c>
      <c r="E75" s="40" t="s">
        <v>731</v>
      </c>
      <c r="F75" s="41" t="s">
        <v>888</v>
      </c>
      <c r="G75" s="41" t="s">
        <v>889</v>
      </c>
      <c r="H75" s="41" t="s">
        <v>893</v>
      </c>
      <c r="I75" s="40" t="s">
        <v>733</v>
      </c>
      <c r="J75" s="40" t="s">
        <v>854</v>
      </c>
      <c r="K75" s="40" t="s">
        <v>735</v>
      </c>
      <c r="L75" s="41" t="s">
        <v>727</v>
      </c>
      <c r="M75" s="35"/>
      <c r="N75" s="35" t="s">
        <v>721</v>
      </c>
    </row>
    <row r="76" spans="1:14" ht="29.1">
      <c r="A76" s="39" t="s">
        <v>894</v>
      </c>
      <c r="B76" s="38" t="s">
        <v>721</v>
      </c>
      <c r="C76" s="40" t="s">
        <v>31</v>
      </c>
      <c r="D76" s="40" t="s">
        <v>725</v>
      </c>
      <c r="E76" s="40" t="s">
        <v>726</v>
      </c>
      <c r="F76" s="41" t="s">
        <v>888</v>
      </c>
      <c r="G76" s="41" t="s">
        <v>889</v>
      </c>
      <c r="H76" s="41" t="s">
        <v>865</v>
      </c>
      <c r="I76" s="40" t="s">
        <v>727</v>
      </c>
      <c r="J76" s="40" t="s">
        <v>727</v>
      </c>
      <c r="K76" s="40" t="s">
        <v>728</v>
      </c>
      <c r="L76" s="40" t="s">
        <v>721</v>
      </c>
      <c r="M76" s="38"/>
      <c r="N76" s="38" t="s">
        <v>721</v>
      </c>
    </row>
    <row r="77" spans="1:14" ht="57.95">
      <c r="A77" s="39" t="s">
        <v>866</v>
      </c>
      <c r="B77" s="40" t="s">
        <v>721</v>
      </c>
      <c r="C77" s="40" t="s">
        <v>31</v>
      </c>
      <c r="D77" s="40" t="s">
        <v>725</v>
      </c>
      <c r="E77" s="40" t="s">
        <v>739</v>
      </c>
      <c r="F77" s="41" t="s">
        <v>895</v>
      </c>
      <c r="G77" s="41" t="s">
        <v>896</v>
      </c>
      <c r="H77" s="41" t="s">
        <v>865</v>
      </c>
      <c r="I77" s="40" t="s">
        <v>733</v>
      </c>
      <c r="J77" s="40" t="s">
        <v>897</v>
      </c>
      <c r="K77" s="40" t="s">
        <v>728</v>
      </c>
      <c r="L77" s="40" t="s">
        <v>721</v>
      </c>
      <c r="M77" s="40"/>
      <c r="N77" s="40" t="s">
        <v>721</v>
      </c>
    </row>
    <row r="78" spans="1:14" ht="29.1">
      <c r="A78" s="39" t="s">
        <v>898</v>
      </c>
      <c r="B78" s="41" t="s">
        <v>721</v>
      </c>
      <c r="C78" s="40" t="s">
        <v>33</v>
      </c>
      <c r="D78" s="40" t="s">
        <v>725</v>
      </c>
      <c r="E78" s="40" t="s">
        <v>726</v>
      </c>
      <c r="F78" s="40" t="s">
        <v>899</v>
      </c>
      <c r="G78" s="40" t="s">
        <v>900</v>
      </c>
      <c r="H78" s="41" t="s">
        <v>865</v>
      </c>
      <c r="I78" s="40" t="s">
        <v>727</v>
      </c>
      <c r="J78" s="41" t="s">
        <v>901</v>
      </c>
      <c r="K78" s="40" t="s">
        <v>735</v>
      </c>
      <c r="L78" s="41" t="s">
        <v>727</v>
      </c>
      <c r="M78" s="41"/>
      <c r="N78" s="41"/>
    </row>
    <row r="79" spans="1:14" ht="29.1">
      <c r="A79" s="39" t="s">
        <v>902</v>
      </c>
      <c r="B79" s="40" t="s">
        <v>721</v>
      </c>
      <c r="C79" s="40" t="s">
        <v>31</v>
      </c>
      <c r="D79" s="40" t="s">
        <v>725</v>
      </c>
      <c r="E79" s="40" t="s">
        <v>726</v>
      </c>
      <c r="F79" s="40" t="s">
        <v>899</v>
      </c>
      <c r="G79" s="40" t="s">
        <v>900</v>
      </c>
      <c r="H79" s="41" t="s">
        <v>865</v>
      </c>
      <c r="I79" s="40" t="s">
        <v>727</v>
      </c>
      <c r="J79" s="41" t="s">
        <v>903</v>
      </c>
      <c r="K79" s="40" t="s">
        <v>735</v>
      </c>
      <c r="L79" s="41" t="s">
        <v>727</v>
      </c>
      <c r="M79" s="40"/>
      <c r="N79" s="40"/>
    </row>
    <row r="80" spans="1:14" ht="29.1">
      <c r="A80" s="39" t="s">
        <v>904</v>
      </c>
      <c r="B80" s="40" t="s">
        <v>721</v>
      </c>
      <c r="C80" s="40" t="s">
        <v>33</v>
      </c>
      <c r="D80" s="40" t="s">
        <v>725</v>
      </c>
      <c r="E80" s="40" t="s">
        <v>726</v>
      </c>
      <c r="F80" s="40" t="s">
        <v>899</v>
      </c>
      <c r="G80" s="40" t="s">
        <v>900</v>
      </c>
      <c r="H80" s="41" t="s">
        <v>865</v>
      </c>
      <c r="I80" s="40" t="s">
        <v>727</v>
      </c>
      <c r="J80" s="41" t="s">
        <v>901</v>
      </c>
      <c r="K80" s="40" t="s">
        <v>735</v>
      </c>
      <c r="L80" s="41" t="s">
        <v>727</v>
      </c>
      <c r="M80" s="40"/>
      <c r="N80" s="40"/>
    </row>
    <row r="81" spans="1:14" ht="29.1">
      <c r="A81" s="39" t="s">
        <v>905</v>
      </c>
      <c r="B81" s="40" t="s">
        <v>721</v>
      </c>
      <c r="C81" s="40"/>
      <c r="D81" s="40" t="s">
        <v>725</v>
      </c>
      <c r="E81" s="40" t="s">
        <v>726</v>
      </c>
      <c r="F81" s="40" t="s">
        <v>899</v>
      </c>
      <c r="G81" s="40" t="s">
        <v>731</v>
      </c>
      <c r="H81" s="41" t="s">
        <v>865</v>
      </c>
      <c r="I81" s="40" t="s">
        <v>727</v>
      </c>
      <c r="J81" s="40" t="s">
        <v>727</v>
      </c>
      <c r="K81" s="40" t="s">
        <v>728</v>
      </c>
      <c r="L81" s="40" t="s">
        <v>721</v>
      </c>
      <c r="M81" s="40"/>
      <c r="N81" s="40" t="s">
        <v>721</v>
      </c>
    </row>
    <row r="82" spans="1:14" ht="29.1">
      <c r="A82" s="39" t="s">
        <v>906</v>
      </c>
      <c r="B82" s="40" t="s">
        <v>721</v>
      </c>
      <c r="C82" s="40"/>
      <c r="D82" s="40" t="s">
        <v>725</v>
      </c>
      <c r="E82" s="40" t="s">
        <v>726</v>
      </c>
      <c r="F82" s="40" t="s">
        <v>899</v>
      </c>
      <c r="G82" s="40" t="s">
        <v>731</v>
      </c>
      <c r="H82" s="41" t="s">
        <v>865</v>
      </c>
      <c r="I82" s="40" t="s">
        <v>727</v>
      </c>
      <c r="J82" s="40" t="s">
        <v>727</v>
      </c>
      <c r="K82" s="40" t="s">
        <v>728</v>
      </c>
      <c r="L82" s="40" t="s">
        <v>721</v>
      </c>
      <c r="M82" s="40"/>
      <c r="N82" s="40" t="s">
        <v>721</v>
      </c>
    </row>
    <row r="83" spans="1:14" ht="29.1">
      <c r="A83" s="39" t="s">
        <v>907</v>
      </c>
      <c r="B83" s="40" t="s">
        <v>721</v>
      </c>
      <c r="C83" s="40" t="s">
        <v>33</v>
      </c>
      <c r="D83" s="40" t="s">
        <v>725</v>
      </c>
      <c r="E83" s="40" t="s">
        <v>726</v>
      </c>
      <c r="F83" s="40" t="s">
        <v>899</v>
      </c>
      <c r="G83" s="40" t="s">
        <v>731</v>
      </c>
      <c r="H83" s="41" t="s">
        <v>865</v>
      </c>
      <c r="I83" s="40" t="s">
        <v>727</v>
      </c>
      <c r="J83" s="40" t="s">
        <v>727</v>
      </c>
      <c r="K83" s="40" t="s">
        <v>728</v>
      </c>
      <c r="L83" s="40" t="s">
        <v>721</v>
      </c>
      <c r="M83" s="40"/>
      <c r="N83" s="40" t="s">
        <v>721</v>
      </c>
    </row>
    <row r="84" spans="1:14" ht="29.1">
      <c r="A84" s="39" t="s">
        <v>908</v>
      </c>
      <c r="B84" s="40" t="s">
        <v>721</v>
      </c>
      <c r="C84" s="40" t="s">
        <v>33</v>
      </c>
      <c r="D84" s="40" t="s">
        <v>725</v>
      </c>
      <c r="E84" s="40" t="s">
        <v>731</v>
      </c>
      <c r="F84" s="40" t="s">
        <v>909</v>
      </c>
      <c r="G84" s="40" t="s">
        <v>742</v>
      </c>
      <c r="H84" s="41" t="s">
        <v>910</v>
      </c>
      <c r="I84" s="40" t="s">
        <v>733</v>
      </c>
      <c r="J84" s="41" t="s">
        <v>911</v>
      </c>
      <c r="K84" s="40" t="s">
        <v>735</v>
      </c>
      <c r="L84" s="41" t="s">
        <v>727</v>
      </c>
      <c r="M84" s="40"/>
      <c r="N84" s="40"/>
    </row>
    <row r="85" spans="1:14" ht="29.1">
      <c r="A85" s="39" t="s">
        <v>912</v>
      </c>
      <c r="B85" s="40" t="s">
        <v>721</v>
      </c>
      <c r="C85" s="40" t="s">
        <v>722</v>
      </c>
      <c r="D85" s="40" t="s">
        <v>725</v>
      </c>
      <c r="E85" s="40" t="s">
        <v>731</v>
      </c>
      <c r="F85" s="40" t="s">
        <v>913</v>
      </c>
      <c r="G85" s="40" t="s">
        <v>742</v>
      </c>
      <c r="H85" s="41" t="s">
        <v>910</v>
      </c>
      <c r="I85" s="40" t="s">
        <v>733</v>
      </c>
      <c r="J85" s="41" t="s">
        <v>911</v>
      </c>
      <c r="K85" s="40" t="s">
        <v>735</v>
      </c>
      <c r="L85" s="41" t="s">
        <v>727</v>
      </c>
      <c r="M85" s="40"/>
      <c r="N85" s="40"/>
    </row>
    <row r="86" spans="1:14" ht="29.1">
      <c r="A86" s="39" t="s">
        <v>914</v>
      </c>
      <c r="B86" s="40" t="s">
        <v>721</v>
      </c>
      <c r="C86" s="40" t="s">
        <v>31</v>
      </c>
      <c r="D86" s="40" t="s">
        <v>725</v>
      </c>
      <c r="E86" s="40" t="s">
        <v>739</v>
      </c>
      <c r="F86" s="40" t="s">
        <v>915</v>
      </c>
      <c r="G86" s="40" t="s">
        <v>742</v>
      </c>
      <c r="H86" s="41" t="s">
        <v>865</v>
      </c>
      <c r="I86" s="40" t="s">
        <v>727</v>
      </c>
      <c r="J86" s="40" t="s">
        <v>727</v>
      </c>
      <c r="K86" s="40" t="s">
        <v>728</v>
      </c>
      <c r="L86" s="40" t="s">
        <v>721</v>
      </c>
      <c r="M86" s="40"/>
      <c r="N86" s="40" t="s">
        <v>721</v>
      </c>
    </row>
    <row r="87" spans="1:14" ht="159.6">
      <c r="A87" s="39" t="s">
        <v>916</v>
      </c>
      <c r="B87" s="40" t="s">
        <v>721</v>
      </c>
      <c r="C87" s="40" t="s">
        <v>31</v>
      </c>
      <c r="D87" s="40" t="s">
        <v>915</v>
      </c>
      <c r="E87" s="40" t="s">
        <v>742</v>
      </c>
      <c r="F87" s="40" t="s">
        <v>725</v>
      </c>
      <c r="G87" s="40" t="s">
        <v>739</v>
      </c>
      <c r="H87" s="41" t="s">
        <v>917</v>
      </c>
      <c r="I87" s="40" t="s">
        <v>727</v>
      </c>
      <c r="J87" s="40" t="s">
        <v>727</v>
      </c>
      <c r="K87" s="41" t="s">
        <v>918</v>
      </c>
      <c r="L87" s="41" t="s">
        <v>727</v>
      </c>
      <c r="M87" s="40"/>
      <c r="N87" s="40"/>
    </row>
    <row r="88" spans="1:14" ht="29.1">
      <c r="A88" s="39" t="s">
        <v>919</v>
      </c>
      <c r="B88" s="40" t="s">
        <v>721</v>
      </c>
      <c r="C88" s="40" t="s">
        <v>31</v>
      </c>
      <c r="D88" s="40" t="s">
        <v>915</v>
      </c>
      <c r="E88" s="40" t="s">
        <v>742</v>
      </c>
      <c r="F88" s="40" t="s">
        <v>725</v>
      </c>
      <c r="G88" s="40" t="s">
        <v>739</v>
      </c>
      <c r="H88" s="41" t="s">
        <v>920</v>
      </c>
      <c r="I88" s="40" t="s">
        <v>727</v>
      </c>
      <c r="J88" s="40" t="s">
        <v>727</v>
      </c>
      <c r="K88" s="40" t="s">
        <v>728</v>
      </c>
      <c r="L88" s="40" t="s">
        <v>721</v>
      </c>
      <c r="M88" s="40"/>
      <c r="N88" s="40" t="s">
        <v>721</v>
      </c>
    </row>
    <row r="89" spans="1:14" ht="29.1">
      <c r="A89" s="39" t="s">
        <v>921</v>
      </c>
      <c r="B89" s="40" t="s">
        <v>721</v>
      </c>
      <c r="C89" s="40" t="s">
        <v>722</v>
      </c>
      <c r="D89" s="40" t="s">
        <v>915</v>
      </c>
      <c r="E89" s="40" t="s">
        <v>742</v>
      </c>
      <c r="F89" s="40" t="s">
        <v>725</v>
      </c>
      <c r="G89" s="40" t="s">
        <v>739</v>
      </c>
      <c r="H89" s="41" t="s">
        <v>920</v>
      </c>
      <c r="I89" s="40" t="s">
        <v>727</v>
      </c>
      <c r="J89" s="40" t="s">
        <v>727</v>
      </c>
      <c r="K89" s="40" t="s">
        <v>728</v>
      </c>
      <c r="L89" s="40" t="s">
        <v>721</v>
      </c>
      <c r="M89" s="40"/>
      <c r="N89" s="40" t="s">
        <v>721</v>
      </c>
    </row>
    <row r="90" spans="1:14" ht="43.5">
      <c r="A90" s="39" t="s">
        <v>922</v>
      </c>
      <c r="B90" s="40" t="s">
        <v>721</v>
      </c>
      <c r="C90" s="40" t="s">
        <v>33</v>
      </c>
      <c r="D90" s="40" t="s">
        <v>725</v>
      </c>
      <c r="E90" s="40" t="s">
        <v>726</v>
      </c>
      <c r="F90" s="41" t="s">
        <v>923</v>
      </c>
      <c r="G90" s="41" t="s">
        <v>924</v>
      </c>
      <c r="H90" s="41" t="s">
        <v>925</v>
      </c>
      <c r="I90" s="40" t="s">
        <v>727</v>
      </c>
      <c r="J90" s="40" t="s">
        <v>854</v>
      </c>
      <c r="K90" s="40" t="s">
        <v>735</v>
      </c>
      <c r="L90" s="41" t="s">
        <v>727</v>
      </c>
      <c r="M90" s="40"/>
      <c r="N90" s="40"/>
    </row>
    <row r="91" spans="1:14" ht="29.1">
      <c r="A91" s="39" t="s">
        <v>926</v>
      </c>
      <c r="B91" s="40" t="s">
        <v>721</v>
      </c>
      <c r="C91" s="40" t="s">
        <v>722</v>
      </c>
      <c r="D91" s="40" t="s">
        <v>927</v>
      </c>
      <c r="E91" s="40" t="s">
        <v>731</v>
      </c>
      <c r="F91" s="40" t="s">
        <v>928</v>
      </c>
      <c r="G91" s="40" t="s">
        <v>742</v>
      </c>
      <c r="H91" s="41" t="s">
        <v>910</v>
      </c>
      <c r="I91" s="40" t="s">
        <v>733</v>
      </c>
      <c r="J91" s="41" t="s">
        <v>734</v>
      </c>
      <c r="K91" s="40" t="s">
        <v>735</v>
      </c>
      <c r="L91" s="41" t="s">
        <v>727</v>
      </c>
      <c r="M91" s="40"/>
      <c r="N91" s="40"/>
    </row>
    <row r="92" spans="1:14" ht="29.1">
      <c r="A92" s="39" t="s">
        <v>929</v>
      </c>
      <c r="B92" s="40" t="s">
        <v>721</v>
      </c>
      <c r="C92" s="40" t="s">
        <v>31</v>
      </c>
      <c r="D92" s="40" t="s">
        <v>930</v>
      </c>
      <c r="E92" s="40" t="s">
        <v>742</v>
      </c>
      <c r="F92" s="40" t="s">
        <v>856</v>
      </c>
      <c r="G92" s="40" t="s">
        <v>857</v>
      </c>
      <c r="H92" s="41" t="s">
        <v>931</v>
      </c>
      <c r="I92" s="40" t="s">
        <v>727</v>
      </c>
      <c r="J92" s="40" t="s">
        <v>727</v>
      </c>
      <c r="K92" s="40" t="s">
        <v>728</v>
      </c>
      <c r="L92" s="40" t="s">
        <v>721</v>
      </c>
      <c r="M92" s="40"/>
      <c r="N92" s="40" t="s">
        <v>721</v>
      </c>
    </row>
    <row r="93" spans="1:14" ht="29.1">
      <c r="A93" s="39" t="s">
        <v>932</v>
      </c>
      <c r="B93" s="40" t="s">
        <v>721</v>
      </c>
      <c r="C93" s="40" t="s">
        <v>31</v>
      </c>
      <c r="D93" s="40" t="s">
        <v>725</v>
      </c>
      <c r="E93" s="40" t="s">
        <v>724</v>
      </c>
      <c r="F93" s="40" t="s">
        <v>930</v>
      </c>
      <c r="G93" s="40" t="s">
        <v>742</v>
      </c>
      <c r="H93" s="41" t="s">
        <v>865</v>
      </c>
      <c r="I93" s="40" t="s">
        <v>727</v>
      </c>
      <c r="J93" s="40" t="s">
        <v>727</v>
      </c>
      <c r="K93" s="40" t="s">
        <v>728</v>
      </c>
      <c r="L93" s="40" t="s">
        <v>721</v>
      </c>
      <c r="M93" s="40"/>
      <c r="N93" s="40" t="s">
        <v>721</v>
      </c>
    </row>
    <row r="94" spans="1:14" ht="29.1">
      <c r="A94" s="39" t="s">
        <v>854</v>
      </c>
      <c r="B94" s="40" t="s">
        <v>721</v>
      </c>
      <c r="C94" s="40"/>
      <c r="D94" s="40" t="s">
        <v>725</v>
      </c>
      <c r="E94" s="40" t="s">
        <v>726</v>
      </c>
      <c r="F94" s="40" t="s">
        <v>933</v>
      </c>
      <c r="G94" s="40" t="s">
        <v>731</v>
      </c>
      <c r="H94" s="41" t="s">
        <v>934</v>
      </c>
      <c r="I94" s="40" t="s">
        <v>733</v>
      </c>
      <c r="J94" s="40" t="s">
        <v>897</v>
      </c>
      <c r="K94" s="40" t="s">
        <v>728</v>
      </c>
      <c r="L94" s="40" t="s">
        <v>721</v>
      </c>
      <c r="M94" s="40"/>
      <c r="N94" s="40" t="s">
        <v>721</v>
      </c>
    </row>
    <row r="95" spans="1:14" ht="29.1">
      <c r="A95" s="39" t="s">
        <v>935</v>
      </c>
      <c r="B95" s="40" t="s">
        <v>721</v>
      </c>
      <c r="C95" s="40" t="s">
        <v>33</v>
      </c>
      <c r="D95" s="40" t="s">
        <v>725</v>
      </c>
      <c r="E95" s="40" t="s">
        <v>724</v>
      </c>
      <c r="F95" s="40" t="s">
        <v>936</v>
      </c>
      <c r="G95" s="40" t="s">
        <v>937</v>
      </c>
      <c r="H95" s="41" t="s">
        <v>865</v>
      </c>
      <c r="I95" s="40" t="s">
        <v>727</v>
      </c>
      <c r="J95" s="40" t="s">
        <v>727</v>
      </c>
      <c r="K95" s="40" t="s">
        <v>728</v>
      </c>
      <c r="L95" s="40" t="s">
        <v>721</v>
      </c>
      <c r="M95" s="40"/>
      <c r="N95" s="40" t="s">
        <v>721</v>
      </c>
    </row>
    <row r="96" spans="1:14" ht="29.1">
      <c r="A96" s="39" t="s">
        <v>938</v>
      </c>
      <c r="B96" s="40" t="s">
        <v>721</v>
      </c>
      <c r="C96" s="40" t="s">
        <v>722</v>
      </c>
      <c r="D96" s="40" t="s">
        <v>939</v>
      </c>
      <c r="E96" s="40" t="s">
        <v>861</v>
      </c>
      <c r="F96" s="40" t="s">
        <v>725</v>
      </c>
      <c r="G96" s="40" t="s">
        <v>726</v>
      </c>
      <c r="H96" s="41" t="s">
        <v>872</v>
      </c>
      <c r="I96" s="40" t="s">
        <v>727</v>
      </c>
      <c r="J96" s="40" t="s">
        <v>727</v>
      </c>
      <c r="K96" s="40" t="s">
        <v>728</v>
      </c>
      <c r="L96" s="40" t="s">
        <v>721</v>
      </c>
      <c r="M96" s="40"/>
      <c r="N96" s="40" t="s">
        <v>721</v>
      </c>
    </row>
    <row r="97" spans="1:14" ht="29.1">
      <c r="A97" s="39" t="s">
        <v>940</v>
      </c>
      <c r="B97" s="40" t="s">
        <v>721</v>
      </c>
      <c r="C97" s="40" t="s">
        <v>722</v>
      </c>
      <c r="D97" s="40" t="s">
        <v>927</v>
      </c>
      <c r="E97" s="40" t="s">
        <v>731</v>
      </c>
      <c r="F97" s="41" t="s">
        <v>941</v>
      </c>
      <c r="G97" s="40" t="s">
        <v>731</v>
      </c>
      <c r="H97" s="41" t="s">
        <v>910</v>
      </c>
      <c r="I97" s="40" t="s">
        <v>733</v>
      </c>
      <c r="J97" s="40" t="s">
        <v>854</v>
      </c>
      <c r="K97" s="40" t="s">
        <v>728</v>
      </c>
      <c r="L97" s="40" t="s">
        <v>721</v>
      </c>
      <c r="M97" s="40"/>
      <c r="N97" s="40" t="s">
        <v>721</v>
      </c>
    </row>
    <row r="98" spans="1:14" ht="29.1">
      <c r="A98" s="39" t="s">
        <v>942</v>
      </c>
      <c r="B98" s="40" t="s">
        <v>721</v>
      </c>
      <c r="C98" s="40" t="s">
        <v>722</v>
      </c>
      <c r="D98" s="40" t="s">
        <v>927</v>
      </c>
      <c r="E98" s="40" t="s">
        <v>731</v>
      </c>
      <c r="F98" s="40" t="s">
        <v>939</v>
      </c>
      <c r="G98" s="40" t="s">
        <v>861</v>
      </c>
      <c r="H98" s="41" t="s">
        <v>910</v>
      </c>
      <c r="I98" s="40" t="s">
        <v>733</v>
      </c>
      <c r="J98" s="41" t="s">
        <v>734</v>
      </c>
      <c r="K98" s="40" t="s">
        <v>735</v>
      </c>
      <c r="L98" s="40" t="s">
        <v>727</v>
      </c>
      <c r="M98" s="40"/>
      <c r="N98" s="40"/>
    </row>
    <row r="99" spans="1:14" ht="43.5">
      <c r="A99" s="39" t="s">
        <v>943</v>
      </c>
      <c r="B99" s="40" t="s">
        <v>868</v>
      </c>
      <c r="C99" s="40" t="s">
        <v>31</v>
      </c>
      <c r="D99" s="40" t="s">
        <v>944</v>
      </c>
      <c r="E99" s="40" t="s">
        <v>742</v>
      </c>
      <c r="F99" s="40" t="s">
        <v>725</v>
      </c>
      <c r="G99" s="40" t="s">
        <v>739</v>
      </c>
      <c r="H99" s="41" t="s">
        <v>945</v>
      </c>
      <c r="I99" s="40" t="s">
        <v>727</v>
      </c>
      <c r="J99" s="40" t="s">
        <v>727</v>
      </c>
      <c r="K99" s="40" t="s">
        <v>728</v>
      </c>
      <c r="L99" s="40" t="s">
        <v>721</v>
      </c>
      <c r="M99" s="40"/>
      <c r="N99" s="40" t="s">
        <v>721</v>
      </c>
    </row>
    <row r="100" spans="1:14" ht="29.1">
      <c r="A100" s="39" t="s">
        <v>946</v>
      </c>
      <c r="B100" s="40" t="s">
        <v>721</v>
      </c>
      <c r="C100" s="40" t="s">
        <v>33</v>
      </c>
      <c r="D100" s="40" t="s">
        <v>725</v>
      </c>
      <c r="E100" s="40" t="s">
        <v>724</v>
      </c>
      <c r="F100" s="40" t="s">
        <v>947</v>
      </c>
      <c r="G100" s="40" t="s">
        <v>937</v>
      </c>
      <c r="H100" s="41" t="s">
        <v>910</v>
      </c>
      <c r="I100" s="40" t="s">
        <v>733</v>
      </c>
      <c r="J100" s="40" t="s">
        <v>727</v>
      </c>
      <c r="K100" s="40" t="s">
        <v>728</v>
      </c>
      <c r="L100" s="40" t="s">
        <v>721</v>
      </c>
      <c r="M100" s="40"/>
      <c r="N100" s="40" t="s">
        <v>721</v>
      </c>
    </row>
    <row r="101" spans="1:14" ht="29.1">
      <c r="A101" s="39" t="s">
        <v>948</v>
      </c>
      <c r="B101" s="40" t="s">
        <v>721</v>
      </c>
      <c r="C101" s="40" t="s">
        <v>33</v>
      </c>
      <c r="D101" s="40" t="s">
        <v>725</v>
      </c>
      <c r="E101" s="40" t="s">
        <v>724</v>
      </c>
      <c r="F101" s="40" t="s">
        <v>947</v>
      </c>
      <c r="G101" s="40" t="s">
        <v>937</v>
      </c>
      <c r="H101" s="41" t="s">
        <v>910</v>
      </c>
      <c r="I101" s="40" t="s">
        <v>733</v>
      </c>
      <c r="J101" s="40" t="s">
        <v>727</v>
      </c>
      <c r="K101" s="40" t="s">
        <v>728</v>
      </c>
      <c r="L101" s="40" t="s">
        <v>721</v>
      </c>
      <c r="M101" s="40"/>
      <c r="N101" s="40" t="s">
        <v>721</v>
      </c>
    </row>
    <row r="102" spans="1:14" ht="29.1">
      <c r="A102" s="39" t="s">
        <v>949</v>
      </c>
      <c r="B102" s="40" t="s">
        <v>721</v>
      </c>
      <c r="C102" s="40" t="s">
        <v>33</v>
      </c>
      <c r="D102" s="40" t="s">
        <v>725</v>
      </c>
      <c r="E102" s="40" t="s">
        <v>724</v>
      </c>
      <c r="F102" s="40" t="s">
        <v>947</v>
      </c>
      <c r="G102" s="40" t="s">
        <v>937</v>
      </c>
      <c r="H102" s="41" t="s">
        <v>910</v>
      </c>
      <c r="I102" s="40" t="s">
        <v>733</v>
      </c>
      <c r="J102" s="40" t="s">
        <v>727</v>
      </c>
      <c r="K102" s="40" t="s">
        <v>728</v>
      </c>
      <c r="L102" s="40" t="s">
        <v>721</v>
      </c>
      <c r="M102" s="40"/>
      <c r="N102" s="40" t="s">
        <v>721</v>
      </c>
    </row>
    <row r="103" spans="1:14" ht="29.1">
      <c r="A103" s="39" t="s">
        <v>950</v>
      </c>
      <c r="B103" s="40" t="s">
        <v>721</v>
      </c>
      <c r="C103" s="40" t="s">
        <v>33</v>
      </c>
      <c r="D103" s="40" t="s">
        <v>725</v>
      </c>
      <c r="E103" s="40" t="s">
        <v>724</v>
      </c>
      <c r="F103" s="40" t="s">
        <v>947</v>
      </c>
      <c r="G103" s="40" t="s">
        <v>937</v>
      </c>
      <c r="H103" s="41" t="s">
        <v>910</v>
      </c>
      <c r="I103" s="40" t="s">
        <v>733</v>
      </c>
      <c r="J103" s="40" t="s">
        <v>727</v>
      </c>
      <c r="K103" s="40" t="s">
        <v>728</v>
      </c>
      <c r="L103" s="40" t="s">
        <v>721</v>
      </c>
      <c r="M103" s="40"/>
      <c r="N103" s="40" t="s">
        <v>721</v>
      </c>
    </row>
    <row r="104" spans="1:14" ht="29.1">
      <c r="A104" s="39" t="s">
        <v>951</v>
      </c>
      <c r="B104" s="40" t="s">
        <v>721</v>
      </c>
      <c r="C104" s="40" t="s">
        <v>33</v>
      </c>
      <c r="D104" s="40" t="s">
        <v>947</v>
      </c>
      <c r="E104" s="40" t="s">
        <v>724</v>
      </c>
      <c r="F104" s="40" t="s">
        <v>823</v>
      </c>
      <c r="G104" s="40" t="s">
        <v>731</v>
      </c>
      <c r="H104" s="41" t="s">
        <v>872</v>
      </c>
      <c r="I104" s="40" t="s">
        <v>727</v>
      </c>
      <c r="J104" s="40" t="s">
        <v>952</v>
      </c>
      <c r="K104" s="40" t="s">
        <v>728</v>
      </c>
      <c r="L104" s="40" t="s">
        <v>721</v>
      </c>
      <c r="M104" s="40"/>
      <c r="N104" s="40" t="s">
        <v>721</v>
      </c>
    </row>
    <row r="105" spans="1:14" ht="29.1">
      <c r="A105" s="39" t="s">
        <v>952</v>
      </c>
      <c r="B105" s="40" t="s">
        <v>721</v>
      </c>
      <c r="C105" s="40" t="s">
        <v>33</v>
      </c>
      <c r="D105" s="40" t="s">
        <v>927</v>
      </c>
      <c r="E105" s="40" t="s">
        <v>731</v>
      </c>
      <c r="F105" s="40" t="s">
        <v>725</v>
      </c>
      <c r="G105" s="40" t="s">
        <v>937</v>
      </c>
      <c r="H105" s="41" t="s">
        <v>872</v>
      </c>
      <c r="I105" s="40" t="s">
        <v>727</v>
      </c>
      <c r="J105" s="40" t="s">
        <v>727</v>
      </c>
      <c r="K105" s="40" t="s">
        <v>728</v>
      </c>
      <c r="L105" s="40" t="s">
        <v>721</v>
      </c>
      <c r="M105" s="40"/>
      <c r="N105" s="40" t="s">
        <v>721</v>
      </c>
    </row>
    <row r="106" spans="1:14" ht="29.1">
      <c r="A106" t="s">
        <v>953</v>
      </c>
      <c r="H106" s="30" t="s">
        <v>954</v>
      </c>
    </row>
    <row r="107" spans="1:14" ht="14.45"/>
    <row r="108" spans="1:14" ht="14.45"/>
    <row r="109" spans="1:14" ht="14.45"/>
    <row r="110" spans="1:14" ht="14.45"/>
    <row r="111" spans="1:14" ht="14.45"/>
    <row r="112" spans="1:14" ht="14.45"/>
    <row r="113" ht="14.45"/>
    <row r="114" ht="14.45"/>
    <row r="115" ht="14.45"/>
    <row r="116" ht="14.45"/>
    <row r="117" ht="14.45"/>
    <row r="118" ht="14.45"/>
    <row r="119" ht="14.45"/>
    <row r="120" ht="14.45"/>
    <row r="121" ht="14.45"/>
    <row r="122" ht="14.45"/>
    <row r="123" ht="14.45"/>
    <row r="124" ht="14.45"/>
    <row r="125" ht="14.45"/>
    <row r="126" ht="14.45"/>
    <row r="127" ht="14.45"/>
    <row r="128" ht="14.45"/>
    <row r="129" ht="14.45"/>
    <row r="130" ht="14.45"/>
    <row r="131" ht="14.45"/>
    <row r="132" ht="14.45"/>
    <row r="133" ht="14.45"/>
    <row r="134" ht="14.45"/>
    <row r="135" ht="14.45"/>
    <row r="136" ht="14.45"/>
    <row r="137" ht="14.45"/>
    <row r="138" ht="14.45"/>
    <row r="139" ht="14.45"/>
    <row r="140" ht="14.45"/>
    <row r="141" ht="14.45"/>
    <row r="142" ht="14.45"/>
    <row r="143" ht="14.45"/>
    <row r="144" ht="14.45"/>
    <row r="145" ht="14.45"/>
    <row r="146" ht="14.45"/>
    <row r="147" ht="14.45"/>
    <row r="148" ht="14.45"/>
  </sheetData>
  <autoFilter ref="A1:N106" xr:uid="{76389301-1557-4EDA-AC0F-02DD3CF7974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EC97-E110-41BF-8A98-9622C09839AF}">
  <dimension ref="A1:DI20"/>
  <sheetViews>
    <sheetView topLeftCell="P1" zoomScale="110" zoomScaleNormal="110" workbookViewId="0">
      <selection activeCell="AG1" sqref="AG1"/>
    </sheetView>
  </sheetViews>
  <sheetFormatPr defaultRowHeight="14.45"/>
  <cols>
    <col min="1" max="1" width="16" customWidth="1"/>
    <col min="2" max="2" width="7.42578125" customWidth="1"/>
    <col min="3" max="3" width="7.42578125" style="1" bestFit="1" customWidth="1"/>
    <col min="4" max="6" width="6.5703125" style="1" customWidth="1"/>
    <col min="7" max="9" width="7.42578125" style="1" bestFit="1" customWidth="1"/>
    <col min="10" max="18" width="6.5703125" style="1" customWidth="1"/>
    <col min="19" max="21" width="7.42578125" style="1" bestFit="1" customWidth="1"/>
    <col min="22" max="30" width="6.5703125" style="1" customWidth="1"/>
    <col min="31" max="33" width="7.42578125" style="1" bestFit="1" customWidth="1"/>
    <col min="34" max="42" width="6.5703125" style="1" customWidth="1"/>
    <col min="43" max="44" width="7.42578125" style="1" bestFit="1" customWidth="1"/>
    <col min="45" max="45" width="7.42578125" style="1" customWidth="1"/>
    <col min="46" max="54" width="6.5703125" style="1" customWidth="1"/>
    <col min="55" max="57" width="7.42578125" style="1" bestFit="1" customWidth="1"/>
    <col min="58" max="61" width="6.5703125" style="1" customWidth="1"/>
    <col min="62" max="64" width="7.42578125" style="1" bestFit="1" customWidth="1"/>
    <col min="65" max="73" width="6.5703125" style="1" bestFit="1" customWidth="1"/>
    <col min="74" max="76" width="7.42578125" style="1" bestFit="1" customWidth="1"/>
    <col min="77" max="85" width="6.5703125" style="1" bestFit="1" customWidth="1"/>
    <col min="86" max="88" width="7.42578125" style="1" bestFit="1" customWidth="1"/>
    <col min="89" max="97" width="6.5703125" style="1" bestFit="1" customWidth="1"/>
    <col min="98" max="100" width="7.42578125" style="1" bestFit="1" customWidth="1"/>
    <col min="101" max="109" width="6.5703125" style="1" bestFit="1" customWidth="1"/>
    <col min="110" max="112" width="7.42578125" style="1" bestFit="1" customWidth="1"/>
    <col min="113" max="113" width="6.5703125" style="1" bestFit="1" customWidth="1"/>
  </cols>
  <sheetData>
    <row r="1" spans="1:113">
      <c r="C1" s="1" t="s">
        <v>955</v>
      </c>
      <c r="D1" s="1" t="s">
        <v>955</v>
      </c>
      <c r="E1" s="1" t="s">
        <v>955</v>
      </c>
      <c r="F1" s="1" t="s">
        <v>955</v>
      </c>
      <c r="G1" s="1" t="s">
        <v>955</v>
      </c>
      <c r="H1" s="1" t="s">
        <v>955</v>
      </c>
      <c r="I1" s="1" t="s">
        <v>955</v>
      </c>
      <c r="J1" t="s">
        <v>956</v>
      </c>
      <c r="K1" t="s">
        <v>956</v>
      </c>
      <c r="L1" t="s">
        <v>956</v>
      </c>
      <c r="M1" t="s">
        <v>956</v>
      </c>
      <c r="N1" t="s">
        <v>956</v>
      </c>
      <c r="O1" t="s">
        <v>956</v>
      </c>
      <c r="P1" t="s">
        <v>956</v>
      </c>
      <c r="Q1" t="s">
        <v>956</v>
      </c>
      <c r="R1" t="s">
        <v>956</v>
      </c>
      <c r="S1" t="s">
        <v>956</v>
      </c>
      <c r="T1" t="s">
        <v>956</v>
      </c>
      <c r="U1" t="s">
        <v>956</v>
      </c>
      <c r="V1" t="s">
        <v>956</v>
      </c>
      <c r="W1" t="s">
        <v>956</v>
      </c>
      <c r="X1" t="s">
        <v>956</v>
      </c>
      <c r="Y1" t="s">
        <v>956</v>
      </c>
      <c r="Z1" t="s">
        <v>956</v>
      </c>
      <c r="AA1" t="s">
        <v>956</v>
      </c>
      <c r="AB1" t="s">
        <v>956</v>
      </c>
      <c r="AC1" t="s">
        <v>956</v>
      </c>
      <c r="AD1" t="s">
        <v>956</v>
      </c>
      <c r="AE1" t="s">
        <v>956</v>
      </c>
      <c r="AF1" t="s">
        <v>956</v>
      </c>
      <c r="AG1" s="1" t="s">
        <v>957</v>
      </c>
      <c r="AH1" s="1" t="s">
        <v>957</v>
      </c>
      <c r="AI1" s="1" t="s">
        <v>957</v>
      </c>
      <c r="AJ1" s="1" t="s">
        <v>957</v>
      </c>
      <c r="AK1" s="1" t="s">
        <v>957</v>
      </c>
      <c r="AL1" s="1" t="s">
        <v>957</v>
      </c>
      <c r="AM1" s="1" t="s">
        <v>957</v>
      </c>
      <c r="AN1" s="1" t="s">
        <v>957</v>
      </c>
      <c r="AO1" s="1" t="s">
        <v>957</v>
      </c>
      <c r="AP1" s="1" t="s">
        <v>957</v>
      </c>
      <c r="AQ1" s="1" t="s">
        <v>957</v>
      </c>
      <c r="AR1" s="1" t="s">
        <v>957</v>
      </c>
      <c r="AS1" s="1" t="s">
        <v>957</v>
      </c>
      <c r="AT1" s="1" t="s">
        <v>957</v>
      </c>
      <c r="AU1" s="1" t="s">
        <v>957</v>
      </c>
      <c r="AV1" s="1" t="s">
        <v>957</v>
      </c>
      <c r="AW1" s="1" t="s">
        <v>957</v>
      </c>
      <c r="AX1" s="1" t="s">
        <v>957</v>
      </c>
      <c r="AY1" s="1" t="s">
        <v>957</v>
      </c>
      <c r="AZ1" s="1" t="s">
        <v>957</v>
      </c>
      <c r="BA1" s="1" t="s">
        <v>957</v>
      </c>
      <c r="BB1" s="1" t="s">
        <v>957</v>
      </c>
      <c r="BC1" s="1" t="s">
        <v>957</v>
      </c>
      <c r="BD1" s="1" t="s">
        <v>957</v>
      </c>
      <c r="BE1" s="1" t="s">
        <v>957</v>
      </c>
    </row>
    <row r="2" spans="1:113">
      <c r="C2" s="2">
        <v>0.75</v>
      </c>
      <c r="D2" s="2">
        <v>0.79166666666666696</v>
      </c>
      <c r="E2" s="2">
        <v>0.83333333333333404</v>
      </c>
      <c r="F2" s="2">
        <v>0.875000000000001</v>
      </c>
      <c r="G2" s="2">
        <v>0.91666666666666796</v>
      </c>
      <c r="H2" s="2">
        <v>0.95833333333333504</v>
      </c>
      <c r="I2" s="2">
        <v>1</v>
      </c>
      <c r="J2" s="2">
        <v>1.0416666666666701</v>
      </c>
      <c r="K2" s="2">
        <v>1.0833333333333399</v>
      </c>
      <c r="L2" s="2">
        <v>1.125</v>
      </c>
      <c r="M2" s="2">
        <v>1.1666666666666701</v>
      </c>
      <c r="N2" s="2">
        <v>1.2083333333333399</v>
      </c>
      <c r="O2" s="2">
        <v>1.25</v>
      </c>
      <c r="P2" s="2">
        <v>1.2916666666666701</v>
      </c>
      <c r="Q2" s="2">
        <v>1.3333333333333399</v>
      </c>
      <c r="R2" s="2">
        <v>1.375</v>
      </c>
      <c r="S2" s="2">
        <v>1.4166666666666701</v>
      </c>
      <c r="T2" s="2">
        <v>1.4583333333333399</v>
      </c>
      <c r="U2" s="2">
        <v>1.5</v>
      </c>
      <c r="V2" s="2">
        <v>1.5416666666666701</v>
      </c>
      <c r="W2" s="2">
        <v>1.5833333333333399</v>
      </c>
      <c r="X2" s="2">
        <v>1.62500000000001</v>
      </c>
      <c r="Y2" s="2">
        <v>1.6666666666666701</v>
      </c>
      <c r="Z2" s="2">
        <v>1.7083333333333399</v>
      </c>
      <c r="AA2" s="2">
        <v>1.75000000000001</v>
      </c>
      <c r="AB2" s="2">
        <v>1.7916666666666701</v>
      </c>
      <c r="AC2" s="2">
        <v>1.8333333333333399</v>
      </c>
      <c r="AD2" s="2">
        <v>1.87500000000001</v>
      </c>
      <c r="AE2" s="2">
        <v>1.9166666666666701</v>
      </c>
      <c r="AF2" s="2">
        <v>1.9583333333333399</v>
      </c>
      <c r="AG2" s="2">
        <v>2.0000000000000102</v>
      </c>
      <c r="AH2" s="2">
        <v>2.0416666666666798</v>
      </c>
      <c r="AI2" s="2">
        <v>2.0833333333333401</v>
      </c>
      <c r="AJ2" s="2">
        <v>2.1250000000000102</v>
      </c>
      <c r="AK2" s="2">
        <v>2.1666666666666798</v>
      </c>
      <c r="AL2" s="2">
        <v>2.2083333333333401</v>
      </c>
      <c r="AM2" s="2">
        <v>2.2500000000000102</v>
      </c>
      <c r="AN2" s="2">
        <v>2.2916666666666798</v>
      </c>
      <c r="AO2" s="2">
        <v>2.3333333333333401</v>
      </c>
      <c r="AP2" s="2">
        <v>2.3750000000000102</v>
      </c>
      <c r="AQ2" s="2">
        <v>2.4166666666666798</v>
      </c>
      <c r="AR2" s="2">
        <v>2.4583333333333499</v>
      </c>
      <c r="AS2" s="2">
        <v>2.5000000000000102</v>
      </c>
      <c r="AT2" s="2">
        <v>2.5416666666666798</v>
      </c>
      <c r="AU2" s="2">
        <v>2.5833333333333499</v>
      </c>
      <c r="AV2" s="2">
        <v>2.6250000000000102</v>
      </c>
      <c r="AW2" s="2">
        <v>2.6666666666666798</v>
      </c>
      <c r="AX2" s="2">
        <v>2.7083333333333499</v>
      </c>
      <c r="AY2" s="2">
        <v>2.7500000000000102</v>
      </c>
      <c r="AZ2" s="2">
        <v>2.7916666666666798</v>
      </c>
      <c r="BA2" s="2">
        <v>2.8333333333333499</v>
      </c>
      <c r="BB2" s="2">
        <v>2.87500000000002</v>
      </c>
      <c r="BC2" s="2">
        <v>2.9166666666666798</v>
      </c>
      <c r="BD2" s="2">
        <v>2.9583333333333499</v>
      </c>
      <c r="BE2" s="2">
        <v>3.00000000000002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s="3" customFormat="1" ht="15.95"/>
    <row r="4" spans="1:113" s="3" customFormat="1" ht="15.95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" t="s">
        <v>958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M4" s="6" t="s">
        <v>959</v>
      </c>
      <c r="AN4" s="6"/>
      <c r="AO4" s="6"/>
      <c r="AT4" s="7" t="s">
        <v>507</v>
      </c>
      <c r="AU4" s="7"/>
      <c r="AV4" s="7"/>
    </row>
    <row r="5" spans="1:113" s="3" customFormat="1" ht="15.95">
      <c r="C5" s="11" t="s">
        <v>960</v>
      </c>
      <c r="D5" s="9"/>
      <c r="E5" s="9"/>
      <c r="F5" s="9"/>
      <c r="G5" s="9"/>
    </row>
    <row r="6" spans="1:113" s="3" customFormat="1" ht="15.95">
      <c r="H6" s="12" t="s">
        <v>961</v>
      </c>
      <c r="I6" s="10"/>
      <c r="J6" s="10"/>
      <c r="K6" s="10"/>
      <c r="L6" s="10"/>
      <c r="M6" s="10"/>
    </row>
    <row r="7" spans="1:113" s="3" customFormat="1" ht="15.95">
      <c r="N7" s="11" t="s">
        <v>962</v>
      </c>
      <c r="O7" s="9"/>
      <c r="P7" s="9"/>
      <c r="Q7" s="9"/>
      <c r="R7" s="9"/>
      <c r="S7" s="9"/>
      <c r="T7" s="9"/>
      <c r="U7" s="9"/>
      <c r="V7" s="9"/>
      <c r="W7" s="9"/>
    </row>
    <row r="8" spans="1:113" s="3" customFormat="1" ht="15.95"/>
    <row r="9" spans="1:113" s="3" customFormat="1" ht="15.95"/>
    <row r="10" spans="1:113" s="3" customFormat="1" ht="15.95">
      <c r="A10" s="3" t="s">
        <v>963</v>
      </c>
      <c r="C10" s="3" t="s">
        <v>964</v>
      </c>
      <c r="E10" s="3">
        <v>5</v>
      </c>
      <c r="F10" s="3" t="s">
        <v>965</v>
      </c>
    </row>
    <row r="11" spans="1:113" ht="15.95">
      <c r="A11" s="3"/>
      <c r="B11" s="3"/>
      <c r="C11" s="3" t="s">
        <v>961</v>
      </c>
      <c r="E11" s="3">
        <v>6</v>
      </c>
      <c r="F11" s="3" t="s">
        <v>965</v>
      </c>
      <c r="G11" s="3"/>
      <c r="H11" s="3"/>
    </row>
    <row r="12" spans="1:113" ht="15.95">
      <c r="A12" s="3"/>
      <c r="B12" s="3"/>
      <c r="C12" s="3" t="s">
        <v>966</v>
      </c>
      <c r="D12" s="3"/>
      <c r="E12" s="3">
        <v>10</v>
      </c>
      <c r="F12" s="3" t="s">
        <v>965</v>
      </c>
      <c r="G12" s="3"/>
      <c r="H12" s="3"/>
    </row>
    <row r="13" spans="1:113" ht="15.95">
      <c r="A13" s="3"/>
      <c r="B13" s="3"/>
      <c r="C13" s="8" t="s">
        <v>967</v>
      </c>
      <c r="D13" s="8"/>
      <c r="E13" s="8">
        <f>SUM(E10:E12)</f>
        <v>21</v>
      </c>
      <c r="F13" s="3"/>
      <c r="G13" s="3"/>
      <c r="H13" s="3"/>
    </row>
    <row r="14" spans="1:113" ht="15.95">
      <c r="A14" s="3"/>
      <c r="B14" s="3"/>
      <c r="C14" s="3"/>
      <c r="D14" s="3"/>
      <c r="E14" s="3"/>
      <c r="F14" s="3"/>
      <c r="G14" s="3"/>
      <c r="H14" s="3"/>
    </row>
    <row r="15" spans="1:113" ht="15.95">
      <c r="A15" s="3"/>
      <c r="B15" s="3"/>
      <c r="C15"/>
      <c r="D15" s="3"/>
      <c r="E15" s="3"/>
      <c r="F15" s="3"/>
      <c r="G15" s="3"/>
      <c r="H15" s="3"/>
    </row>
    <row r="16" spans="1:113" ht="15.95">
      <c r="A16" s="3"/>
      <c r="B16" s="3"/>
      <c r="C16" s="3"/>
      <c r="D16" s="3"/>
      <c r="E16" s="3"/>
      <c r="F16" s="3"/>
      <c r="G16" s="3"/>
      <c r="H16" s="3"/>
    </row>
    <row r="17" spans="1:8" ht="15.95">
      <c r="A17" s="3"/>
      <c r="B17" s="3"/>
      <c r="C17" s="3"/>
      <c r="D17" s="3"/>
      <c r="E17" s="3"/>
      <c r="F17" s="3"/>
      <c r="G17" s="3"/>
      <c r="H17" s="3"/>
    </row>
    <row r="18" spans="1:8" ht="15.95">
      <c r="A18" s="3"/>
      <c r="B18" s="3"/>
      <c r="C18" s="3"/>
      <c r="D18" s="3"/>
      <c r="E18" s="3"/>
      <c r="F18" s="3"/>
      <c r="G18" s="3"/>
      <c r="H18" s="3"/>
    </row>
    <row r="19" spans="1:8" ht="15.95">
      <c r="A19" s="3"/>
      <c r="B19" s="3"/>
      <c r="C19" s="3"/>
      <c r="D19" s="3"/>
      <c r="E19" s="3"/>
      <c r="F19" s="3"/>
      <c r="G19" s="3"/>
      <c r="H19" s="3"/>
    </row>
    <row r="20" spans="1:8" ht="15.95">
      <c r="A20" s="3"/>
      <c r="B20" s="3"/>
      <c r="C20" s="3"/>
      <c r="D20" s="3"/>
      <c r="E20" s="3"/>
      <c r="F20" s="3"/>
      <c r="G20" s="3"/>
      <c r="H20" s="3"/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CA90-7A6B-4BB4-8D1C-345A9A8F11FC}">
  <dimension ref="A1:L135"/>
  <sheetViews>
    <sheetView workbookViewId="0">
      <pane ySplit="3" topLeftCell="A4" activePane="bottomLeft" state="frozen"/>
      <selection pane="bottomLeft" activeCell="D4" sqref="D4"/>
    </sheetView>
  </sheetViews>
  <sheetFormatPr defaultColWidth="9.140625" defaultRowHeight="14.45"/>
  <cols>
    <col min="1" max="1" width="6" style="79" customWidth="1"/>
    <col min="2" max="2" width="12" style="79" hidden="1" customWidth="1"/>
    <col min="3" max="3" width="9" style="79" hidden="1" customWidth="1"/>
    <col min="4" max="4" width="18.85546875" style="79" customWidth="1"/>
    <col min="5" max="5" width="11.28515625" style="79" customWidth="1"/>
    <col min="6" max="6" width="15.42578125" style="79" customWidth="1"/>
    <col min="7" max="7" width="17.5703125" style="79" customWidth="1"/>
    <col min="8" max="8" width="55.140625" style="79" bestFit="1" customWidth="1"/>
    <col min="9" max="9" width="8.7109375" style="79" bestFit="1" customWidth="1"/>
    <col min="10" max="10" width="39.42578125" style="80" customWidth="1"/>
    <col min="11" max="18" width="8.7109375" style="79" bestFit="1" customWidth="1"/>
    <col min="19" max="16384" width="9.140625" style="79"/>
  </cols>
  <sheetData>
    <row r="1" spans="1:10">
      <c r="A1" s="81" t="s">
        <v>968</v>
      </c>
      <c r="B1" s="81" t="s">
        <v>968</v>
      </c>
      <c r="C1" s="81" t="s">
        <v>968</v>
      </c>
      <c r="D1" s="82" t="s">
        <v>968</v>
      </c>
      <c r="E1" s="81" t="s">
        <v>968</v>
      </c>
      <c r="F1" s="81" t="s">
        <v>968</v>
      </c>
      <c r="G1" s="81" t="s">
        <v>968</v>
      </c>
      <c r="H1" s="81" t="s">
        <v>968</v>
      </c>
    </row>
    <row r="2" spans="1:10">
      <c r="A2" s="82" t="s">
        <v>969</v>
      </c>
      <c r="B2" s="82" t="s">
        <v>970</v>
      </c>
      <c r="C2" s="82" t="s">
        <v>971</v>
      </c>
      <c r="D2" s="82" t="s">
        <v>968</v>
      </c>
      <c r="E2" s="82" t="s">
        <v>968</v>
      </c>
      <c r="F2" s="82" t="s">
        <v>968</v>
      </c>
      <c r="G2" s="82" t="s">
        <v>968</v>
      </c>
      <c r="H2" s="82" t="s">
        <v>968</v>
      </c>
    </row>
    <row r="3" spans="1:10">
      <c r="A3" s="113" t="s">
        <v>972</v>
      </c>
      <c r="B3" s="113" t="s">
        <v>973</v>
      </c>
      <c r="C3" s="113" t="s">
        <v>974</v>
      </c>
      <c r="D3" s="113" t="s">
        <v>975</v>
      </c>
      <c r="E3" s="113" t="s">
        <v>976</v>
      </c>
      <c r="F3" s="113" t="s">
        <v>977</v>
      </c>
      <c r="G3" s="113" t="s">
        <v>978</v>
      </c>
      <c r="H3" s="113" t="s">
        <v>979</v>
      </c>
      <c r="I3" s="114" t="s">
        <v>980</v>
      </c>
      <c r="J3" s="115" t="s">
        <v>981</v>
      </c>
    </row>
    <row r="4" spans="1:10">
      <c r="A4" s="32">
        <v>1</v>
      </c>
      <c r="B4" s="32"/>
      <c r="C4" s="32"/>
      <c r="D4" s="108" t="s">
        <v>982</v>
      </c>
      <c r="E4" s="32">
        <v>100</v>
      </c>
      <c r="F4" s="32" t="s">
        <v>983</v>
      </c>
      <c r="G4" s="32"/>
      <c r="H4" s="32" t="s">
        <v>984</v>
      </c>
      <c r="I4" s="116" t="s">
        <v>721</v>
      </c>
      <c r="J4" s="117" t="s">
        <v>985</v>
      </c>
    </row>
    <row r="5" spans="1:10">
      <c r="A5" s="32">
        <v>2</v>
      </c>
      <c r="B5" s="32" t="s">
        <v>986</v>
      </c>
      <c r="C5" s="32" t="s">
        <v>987</v>
      </c>
      <c r="D5" s="108" t="s">
        <v>988</v>
      </c>
      <c r="E5" s="32" t="s">
        <v>989</v>
      </c>
      <c r="F5" s="32" t="s">
        <v>983</v>
      </c>
      <c r="G5" s="32" t="s">
        <v>990</v>
      </c>
      <c r="H5" s="32" t="s">
        <v>991</v>
      </c>
      <c r="I5" s="32" t="s">
        <v>721</v>
      </c>
      <c r="J5" s="118" t="s">
        <v>992</v>
      </c>
    </row>
    <row r="6" spans="1:10">
      <c r="A6" s="32">
        <v>3</v>
      </c>
      <c r="B6" s="32" t="s">
        <v>970</v>
      </c>
      <c r="C6" s="32" t="s">
        <v>993</v>
      </c>
      <c r="D6" s="108" t="s">
        <v>994</v>
      </c>
      <c r="E6" s="32" t="s">
        <v>989</v>
      </c>
      <c r="F6" s="32" t="s">
        <v>995</v>
      </c>
      <c r="G6" s="32" t="s">
        <v>990</v>
      </c>
      <c r="H6" s="32" t="s">
        <v>996</v>
      </c>
      <c r="I6" s="116" t="s">
        <v>721</v>
      </c>
      <c r="J6" s="117"/>
    </row>
    <row r="7" spans="1:10">
      <c r="A7" s="32">
        <v>4</v>
      </c>
      <c r="B7" s="32" t="s">
        <v>997</v>
      </c>
      <c r="C7" s="32" t="s">
        <v>998</v>
      </c>
      <c r="D7" s="108" t="s">
        <v>999</v>
      </c>
      <c r="E7" s="32" t="s">
        <v>989</v>
      </c>
      <c r="F7" s="32" t="s">
        <v>1000</v>
      </c>
      <c r="G7" s="32" t="s">
        <v>990</v>
      </c>
      <c r="H7" s="32" t="s">
        <v>1001</v>
      </c>
      <c r="I7" s="32" t="s">
        <v>721</v>
      </c>
      <c r="J7" s="117"/>
    </row>
    <row r="8" spans="1:10">
      <c r="A8" s="32">
        <v>5</v>
      </c>
      <c r="B8" s="32" t="s">
        <v>997</v>
      </c>
      <c r="C8" s="32" t="s">
        <v>1002</v>
      </c>
      <c r="D8" s="108" t="s">
        <v>1003</v>
      </c>
      <c r="E8" s="32" t="s">
        <v>989</v>
      </c>
      <c r="F8" s="32" t="s">
        <v>1004</v>
      </c>
      <c r="G8" s="32" t="s">
        <v>990</v>
      </c>
      <c r="H8" s="32" t="s">
        <v>1005</v>
      </c>
      <c r="I8" s="116" t="s">
        <v>721</v>
      </c>
      <c r="J8" s="117"/>
    </row>
    <row r="9" spans="1:10">
      <c r="A9" s="32">
        <v>6</v>
      </c>
      <c r="B9" s="32" t="s">
        <v>997</v>
      </c>
      <c r="C9" s="32" t="s">
        <v>1006</v>
      </c>
      <c r="D9" s="108" t="s">
        <v>1007</v>
      </c>
      <c r="E9" s="32" t="s">
        <v>989</v>
      </c>
      <c r="F9" s="32" t="s">
        <v>1004</v>
      </c>
      <c r="G9" s="32" t="s">
        <v>990</v>
      </c>
      <c r="H9" s="32" t="s">
        <v>1008</v>
      </c>
      <c r="I9" s="32" t="s">
        <v>721</v>
      </c>
      <c r="J9" s="117"/>
    </row>
    <row r="10" spans="1:10">
      <c r="A10" s="32">
        <v>7</v>
      </c>
      <c r="B10" s="32" t="s">
        <v>997</v>
      </c>
      <c r="C10" s="32" t="s">
        <v>1009</v>
      </c>
      <c r="D10" s="108" t="s">
        <v>1010</v>
      </c>
      <c r="E10" s="32" t="s">
        <v>989</v>
      </c>
      <c r="F10" s="32" t="s">
        <v>1000</v>
      </c>
      <c r="G10" s="32" t="s">
        <v>990</v>
      </c>
      <c r="H10" s="32" t="s">
        <v>1011</v>
      </c>
      <c r="I10" s="116" t="s">
        <v>721</v>
      </c>
      <c r="J10" s="117"/>
    </row>
    <row r="11" spans="1:10">
      <c r="A11" s="32">
        <v>8</v>
      </c>
      <c r="B11" s="32" t="s">
        <v>1012</v>
      </c>
      <c r="C11" s="32" t="s">
        <v>1013</v>
      </c>
      <c r="D11" s="108" t="s">
        <v>1014</v>
      </c>
      <c r="E11" s="32" t="s">
        <v>989</v>
      </c>
      <c r="F11" s="32" t="s">
        <v>1015</v>
      </c>
      <c r="G11" s="32" t="s">
        <v>990</v>
      </c>
      <c r="H11" s="32" t="s">
        <v>1016</v>
      </c>
      <c r="I11" s="116" t="s">
        <v>721</v>
      </c>
      <c r="J11" s="117"/>
    </row>
    <row r="12" spans="1:10">
      <c r="A12" s="32">
        <v>9</v>
      </c>
      <c r="B12" s="32" t="s">
        <v>1017</v>
      </c>
      <c r="C12" s="32" t="s">
        <v>1018</v>
      </c>
      <c r="D12" s="108" t="s">
        <v>1019</v>
      </c>
      <c r="E12" s="32" t="s">
        <v>989</v>
      </c>
      <c r="F12" s="32" t="s">
        <v>1020</v>
      </c>
      <c r="G12" s="32" t="s">
        <v>990</v>
      </c>
      <c r="H12" s="32" t="s">
        <v>1021</v>
      </c>
      <c r="I12" s="116" t="s">
        <v>721</v>
      </c>
      <c r="J12" s="117"/>
    </row>
    <row r="13" spans="1:10">
      <c r="A13" s="32">
        <v>10</v>
      </c>
      <c r="B13" s="32" t="s">
        <v>1017</v>
      </c>
      <c r="C13" s="32" t="s">
        <v>1022</v>
      </c>
      <c r="D13" s="108" t="s">
        <v>1023</v>
      </c>
      <c r="E13" s="32" t="s">
        <v>989</v>
      </c>
      <c r="F13" s="32" t="s">
        <v>1020</v>
      </c>
      <c r="G13" s="32" t="s">
        <v>990</v>
      </c>
      <c r="H13" s="32" t="s">
        <v>1021</v>
      </c>
      <c r="I13" s="116" t="s">
        <v>721</v>
      </c>
      <c r="J13" s="117"/>
    </row>
    <row r="14" spans="1:10">
      <c r="A14" s="32">
        <v>11</v>
      </c>
      <c r="B14" s="32" t="s">
        <v>1024</v>
      </c>
      <c r="C14" s="32" t="s">
        <v>1025</v>
      </c>
      <c r="D14" s="108" t="s">
        <v>1026</v>
      </c>
      <c r="E14" s="32" t="s">
        <v>989</v>
      </c>
      <c r="F14" s="32" t="s">
        <v>1020</v>
      </c>
      <c r="G14" s="32" t="s">
        <v>990</v>
      </c>
      <c r="H14" s="32" t="s">
        <v>1027</v>
      </c>
      <c r="I14" s="116" t="s">
        <v>721</v>
      </c>
      <c r="J14" s="117"/>
    </row>
    <row r="15" spans="1:10">
      <c r="A15" s="32">
        <v>12</v>
      </c>
      <c r="B15" s="32" t="s">
        <v>1028</v>
      </c>
      <c r="C15" s="32" t="s">
        <v>1029</v>
      </c>
      <c r="D15" s="108" t="s">
        <v>1030</v>
      </c>
      <c r="E15" s="32" t="s">
        <v>989</v>
      </c>
      <c r="F15" s="32" t="s">
        <v>983</v>
      </c>
      <c r="G15" s="32" t="s">
        <v>990</v>
      </c>
      <c r="H15" s="32" t="s">
        <v>1031</v>
      </c>
      <c r="I15" s="116" t="s">
        <v>721</v>
      </c>
      <c r="J15" s="117"/>
    </row>
    <row r="16" spans="1:10">
      <c r="A16" s="32">
        <v>13</v>
      </c>
      <c r="B16" s="32" t="s">
        <v>1028</v>
      </c>
      <c r="C16" s="32" t="s">
        <v>1032</v>
      </c>
      <c r="D16" s="108" t="s">
        <v>1033</v>
      </c>
      <c r="E16" s="32" t="s">
        <v>989</v>
      </c>
      <c r="F16" s="32" t="s">
        <v>1020</v>
      </c>
      <c r="G16" s="32" t="s">
        <v>990</v>
      </c>
      <c r="H16" s="32" t="s">
        <v>1034</v>
      </c>
      <c r="I16" s="116" t="s">
        <v>721</v>
      </c>
      <c r="J16" s="117"/>
    </row>
    <row r="17" spans="1:10">
      <c r="A17" s="32">
        <v>14</v>
      </c>
      <c r="B17" s="32" t="s">
        <v>1028</v>
      </c>
      <c r="C17" s="32" t="s">
        <v>1035</v>
      </c>
      <c r="D17" s="108" t="s">
        <v>1036</v>
      </c>
      <c r="E17" s="32" t="s">
        <v>989</v>
      </c>
      <c r="F17" s="32" t="s">
        <v>1020</v>
      </c>
      <c r="G17" s="32" t="s">
        <v>990</v>
      </c>
      <c r="H17" s="32" t="s">
        <v>1034</v>
      </c>
      <c r="I17" s="116" t="s">
        <v>721</v>
      </c>
      <c r="J17" s="117"/>
    </row>
    <row r="18" spans="1:10">
      <c r="A18" s="32">
        <v>15</v>
      </c>
      <c r="B18" s="32" t="s">
        <v>1028</v>
      </c>
      <c r="C18" s="32" t="s">
        <v>1037</v>
      </c>
      <c r="D18" s="108" t="s">
        <v>1038</v>
      </c>
      <c r="E18" s="32" t="s">
        <v>989</v>
      </c>
      <c r="F18" s="32" t="s">
        <v>1039</v>
      </c>
      <c r="G18" s="32" t="s">
        <v>990</v>
      </c>
      <c r="H18" s="32" t="s">
        <v>1034</v>
      </c>
      <c r="I18" s="116" t="s">
        <v>721</v>
      </c>
      <c r="J18" s="117"/>
    </row>
    <row r="19" spans="1:10">
      <c r="A19" s="32">
        <v>16</v>
      </c>
      <c r="B19" s="32" t="s">
        <v>1040</v>
      </c>
      <c r="C19" s="32" t="s">
        <v>1041</v>
      </c>
      <c r="D19" s="108" t="s">
        <v>1042</v>
      </c>
      <c r="E19" s="32" t="s">
        <v>989</v>
      </c>
      <c r="F19" s="32" t="s">
        <v>1020</v>
      </c>
      <c r="G19" s="32" t="s">
        <v>990</v>
      </c>
      <c r="H19" s="32" t="s">
        <v>1034</v>
      </c>
      <c r="I19" s="116" t="s">
        <v>721</v>
      </c>
      <c r="J19" s="117"/>
    </row>
    <row r="20" spans="1:10">
      <c r="A20" s="32">
        <v>17</v>
      </c>
      <c r="B20" s="32" t="s">
        <v>1040</v>
      </c>
      <c r="C20" s="32" t="s">
        <v>1043</v>
      </c>
      <c r="D20" s="108" t="s">
        <v>636</v>
      </c>
      <c r="E20" s="32" t="s">
        <v>989</v>
      </c>
      <c r="F20" s="50" t="s">
        <v>990</v>
      </c>
      <c r="G20" s="32" t="s">
        <v>990</v>
      </c>
      <c r="H20" s="32" t="s">
        <v>1044</v>
      </c>
      <c r="I20" s="116" t="s">
        <v>721</v>
      </c>
      <c r="J20" s="83" t="s">
        <v>1045</v>
      </c>
    </row>
    <row r="21" spans="1:10">
      <c r="A21" s="32">
        <v>18</v>
      </c>
      <c r="B21" s="32" t="s">
        <v>1040</v>
      </c>
      <c r="C21" s="32" t="s">
        <v>1046</v>
      </c>
      <c r="D21" s="108" t="s">
        <v>1047</v>
      </c>
      <c r="E21" s="32" t="s">
        <v>989</v>
      </c>
      <c r="F21" s="32" t="s">
        <v>1020</v>
      </c>
      <c r="G21" s="32" t="s">
        <v>990</v>
      </c>
      <c r="H21" s="32" t="s">
        <v>1034</v>
      </c>
      <c r="I21" s="116" t="s">
        <v>721</v>
      </c>
      <c r="J21" s="117"/>
    </row>
    <row r="22" spans="1:10">
      <c r="A22" s="32">
        <v>19</v>
      </c>
      <c r="B22" s="32" t="s">
        <v>1048</v>
      </c>
      <c r="C22" s="32" t="s">
        <v>1049</v>
      </c>
      <c r="D22" s="108" t="s">
        <v>1050</v>
      </c>
      <c r="E22" s="32" t="s">
        <v>989</v>
      </c>
      <c r="F22" s="32" t="s">
        <v>1020</v>
      </c>
      <c r="G22" s="32" t="s">
        <v>990</v>
      </c>
      <c r="H22" s="32" t="s">
        <v>1051</v>
      </c>
      <c r="I22" s="116" t="s">
        <v>721</v>
      </c>
      <c r="J22" s="117"/>
    </row>
    <row r="23" spans="1:10">
      <c r="A23" s="32">
        <v>20</v>
      </c>
      <c r="B23" s="32" t="s">
        <v>1048</v>
      </c>
      <c r="C23" s="32" t="s">
        <v>1052</v>
      </c>
      <c r="D23" s="108" t="s">
        <v>1053</v>
      </c>
      <c r="E23" s="32" t="s">
        <v>989</v>
      </c>
      <c r="F23" s="32" t="s">
        <v>1020</v>
      </c>
      <c r="G23" s="32" t="s">
        <v>990</v>
      </c>
      <c r="H23" s="32" t="s">
        <v>1054</v>
      </c>
      <c r="I23" s="116" t="s">
        <v>721</v>
      </c>
      <c r="J23" s="117"/>
    </row>
    <row r="24" spans="1:10">
      <c r="A24" s="32">
        <v>21</v>
      </c>
      <c r="B24" s="32" t="s">
        <v>1048</v>
      </c>
      <c r="C24" s="32" t="s">
        <v>1055</v>
      </c>
      <c r="D24" s="108" t="s">
        <v>1056</v>
      </c>
      <c r="E24" s="32" t="s">
        <v>989</v>
      </c>
      <c r="F24" s="32" t="s">
        <v>1020</v>
      </c>
      <c r="G24" s="32" t="s">
        <v>990</v>
      </c>
      <c r="H24" s="32" t="s">
        <v>1057</v>
      </c>
      <c r="I24" s="116" t="s">
        <v>721</v>
      </c>
      <c r="J24" s="117"/>
    </row>
    <row r="25" spans="1:10">
      <c r="A25" s="32">
        <v>22</v>
      </c>
      <c r="B25" s="32" t="s">
        <v>1048</v>
      </c>
      <c r="C25" s="32" t="s">
        <v>1058</v>
      </c>
      <c r="D25" s="108" t="s">
        <v>1059</v>
      </c>
      <c r="E25" s="32" t="s">
        <v>989</v>
      </c>
      <c r="F25" s="32" t="s">
        <v>1020</v>
      </c>
      <c r="G25" s="32" t="s">
        <v>990</v>
      </c>
      <c r="H25" s="32" t="s">
        <v>1060</v>
      </c>
      <c r="I25" s="116" t="s">
        <v>721</v>
      </c>
      <c r="J25" s="117"/>
    </row>
    <row r="26" spans="1:10">
      <c r="A26" s="32">
        <v>23</v>
      </c>
      <c r="B26" s="32" t="s">
        <v>1048</v>
      </c>
      <c r="C26" s="32" t="s">
        <v>1061</v>
      </c>
      <c r="D26" s="108" t="s">
        <v>1062</v>
      </c>
      <c r="E26" s="32" t="s">
        <v>989</v>
      </c>
      <c r="F26" s="32" t="s">
        <v>1020</v>
      </c>
      <c r="G26" s="32" t="s">
        <v>990</v>
      </c>
      <c r="H26" s="32" t="s">
        <v>1060</v>
      </c>
      <c r="I26" s="116" t="s">
        <v>721</v>
      </c>
      <c r="J26" s="117"/>
    </row>
    <row r="27" spans="1:10">
      <c r="A27" s="32">
        <v>24</v>
      </c>
      <c r="B27" s="32" t="s">
        <v>1063</v>
      </c>
      <c r="C27" s="32" t="s">
        <v>1064</v>
      </c>
      <c r="D27" s="108" t="s">
        <v>1065</v>
      </c>
      <c r="E27" s="32" t="s">
        <v>989</v>
      </c>
      <c r="F27" s="32" t="s">
        <v>1066</v>
      </c>
      <c r="G27" s="32" t="s">
        <v>990</v>
      </c>
      <c r="H27" s="32" t="s">
        <v>1067</v>
      </c>
      <c r="I27" s="116" t="s">
        <v>721</v>
      </c>
      <c r="J27" s="117"/>
    </row>
    <row r="28" spans="1:10">
      <c r="A28" s="32">
        <v>25</v>
      </c>
      <c r="B28" s="32" t="s">
        <v>1063</v>
      </c>
      <c r="C28" s="32" t="s">
        <v>1068</v>
      </c>
      <c r="D28" s="108" t="s">
        <v>1069</v>
      </c>
      <c r="E28" s="32" t="s">
        <v>989</v>
      </c>
      <c r="F28" s="32" t="s">
        <v>1015</v>
      </c>
      <c r="G28" s="32" t="s">
        <v>990</v>
      </c>
      <c r="H28" s="32" t="s">
        <v>1070</v>
      </c>
      <c r="I28" s="116" t="s">
        <v>721</v>
      </c>
      <c r="J28" s="117"/>
    </row>
    <row r="29" spans="1:10">
      <c r="A29" s="32">
        <v>26</v>
      </c>
      <c r="B29" s="32" t="s">
        <v>1063</v>
      </c>
      <c r="C29" s="32" t="s">
        <v>1071</v>
      </c>
      <c r="D29" s="108" t="s">
        <v>1072</v>
      </c>
      <c r="E29" s="32" t="s">
        <v>989</v>
      </c>
      <c r="F29" s="32" t="s">
        <v>1015</v>
      </c>
      <c r="G29" s="32" t="s">
        <v>990</v>
      </c>
      <c r="H29" s="32" t="s">
        <v>1073</v>
      </c>
      <c r="I29" s="116" t="s">
        <v>721</v>
      </c>
      <c r="J29" s="117"/>
    </row>
    <row r="30" spans="1:10" ht="43.35">
      <c r="A30" s="32">
        <v>27</v>
      </c>
      <c r="B30" s="32" t="s">
        <v>1063</v>
      </c>
      <c r="C30" s="32" t="s">
        <v>1074</v>
      </c>
      <c r="D30" s="108" t="s">
        <v>1075</v>
      </c>
      <c r="E30" s="32" t="s">
        <v>989</v>
      </c>
      <c r="F30" s="32" t="s">
        <v>1020</v>
      </c>
      <c r="G30" s="32" t="s">
        <v>990</v>
      </c>
      <c r="H30" s="32" t="s">
        <v>1076</v>
      </c>
      <c r="I30" s="116" t="s">
        <v>721</v>
      </c>
      <c r="J30" s="56" t="s">
        <v>1077</v>
      </c>
    </row>
    <row r="31" spans="1:10" ht="43.35">
      <c r="A31" s="32">
        <v>28</v>
      </c>
      <c r="B31" s="32" t="s">
        <v>1078</v>
      </c>
      <c r="C31" s="32" t="s">
        <v>1079</v>
      </c>
      <c r="D31" s="108" t="s">
        <v>1080</v>
      </c>
      <c r="E31" s="32" t="s">
        <v>989</v>
      </c>
      <c r="F31" s="32" t="s">
        <v>1020</v>
      </c>
      <c r="G31" s="32" t="s">
        <v>990</v>
      </c>
      <c r="H31" s="32" t="s">
        <v>1076</v>
      </c>
      <c r="I31" s="116" t="s">
        <v>721</v>
      </c>
      <c r="J31" s="119" t="s">
        <v>1077</v>
      </c>
    </row>
    <row r="32" spans="1:10">
      <c r="A32" s="32">
        <v>29</v>
      </c>
      <c r="B32" s="32" t="s">
        <v>1078</v>
      </c>
      <c r="C32" s="32" t="s">
        <v>1081</v>
      </c>
      <c r="D32" s="108" t="s">
        <v>1082</v>
      </c>
      <c r="E32" s="32" t="s">
        <v>989</v>
      </c>
      <c r="F32" s="32" t="s">
        <v>1020</v>
      </c>
      <c r="G32" s="32" t="s">
        <v>990</v>
      </c>
      <c r="H32" s="32" t="s">
        <v>1083</v>
      </c>
      <c r="I32" s="116" t="s">
        <v>721</v>
      </c>
      <c r="J32" s="117"/>
    </row>
    <row r="33" spans="1:10">
      <c r="A33" s="32">
        <v>30</v>
      </c>
      <c r="B33" s="32" t="s">
        <v>1078</v>
      </c>
      <c r="C33" s="32" t="s">
        <v>1084</v>
      </c>
      <c r="D33" s="108" t="s">
        <v>1085</v>
      </c>
      <c r="E33" s="32" t="s">
        <v>989</v>
      </c>
      <c r="F33" s="32" t="s">
        <v>1015</v>
      </c>
      <c r="G33" s="32" t="s">
        <v>990</v>
      </c>
      <c r="H33" s="32" t="s">
        <v>1086</v>
      </c>
      <c r="I33" s="116" t="s">
        <v>721</v>
      </c>
      <c r="J33" s="117"/>
    </row>
    <row r="34" spans="1:10">
      <c r="A34" s="32">
        <v>31</v>
      </c>
      <c r="B34" s="32" t="s">
        <v>1078</v>
      </c>
      <c r="C34" s="32" t="s">
        <v>1087</v>
      </c>
      <c r="D34" s="108" t="s">
        <v>1088</v>
      </c>
      <c r="E34" s="32" t="s">
        <v>989</v>
      </c>
      <c r="F34" s="32" t="s">
        <v>1089</v>
      </c>
      <c r="G34" s="32" t="s">
        <v>990</v>
      </c>
      <c r="H34" s="32" t="s">
        <v>1090</v>
      </c>
      <c r="I34" s="116" t="s">
        <v>721</v>
      </c>
      <c r="J34" s="117"/>
    </row>
    <row r="35" spans="1:10">
      <c r="A35" s="32">
        <v>32</v>
      </c>
      <c r="B35" s="32" t="s">
        <v>1091</v>
      </c>
      <c r="C35" s="32" t="s">
        <v>1092</v>
      </c>
      <c r="D35" s="108" t="s">
        <v>1093</v>
      </c>
      <c r="E35" s="32" t="s">
        <v>989</v>
      </c>
      <c r="F35" s="32" t="s">
        <v>1015</v>
      </c>
      <c r="G35" s="32" t="s">
        <v>990</v>
      </c>
      <c r="H35" s="32" t="s">
        <v>1094</v>
      </c>
      <c r="I35" s="116" t="s">
        <v>721</v>
      </c>
      <c r="J35" s="117"/>
    </row>
    <row r="36" spans="1:10">
      <c r="A36" s="32">
        <v>33</v>
      </c>
      <c r="B36" s="32" t="s">
        <v>1095</v>
      </c>
      <c r="C36" s="32" t="s">
        <v>1096</v>
      </c>
      <c r="D36" s="108" t="s">
        <v>1097</v>
      </c>
      <c r="E36" s="32" t="s">
        <v>989</v>
      </c>
      <c r="F36" s="32" t="s">
        <v>1098</v>
      </c>
      <c r="G36" s="32" t="s">
        <v>990</v>
      </c>
      <c r="H36" s="32" t="s">
        <v>1099</v>
      </c>
      <c r="I36" s="116" t="s">
        <v>721</v>
      </c>
      <c r="J36" s="117"/>
    </row>
    <row r="37" spans="1:10">
      <c r="A37" s="32">
        <v>34</v>
      </c>
      <c r="B37" s="32" t="s">
        <v>1095</v>
      </c>
      <c r="C37" s="32" t="s">
        <v>1100</v>
      </c>
      <c r="D37" s="108" t="s">
        <v>1101</v>
      </c>
      <c r="E37" s="32" t="s">
        <v>989</v>
      </c>
      <c r="F37" s="32" t="s">
        <v>1098</v>
      </c>
      <c r="G37" s="32" t="s">
        <v>990</v>
      </c>
      <c r="H37" s="32" t="s">
        <v>1102</v>
      </c>
      <c r="I37" s="116" t="s">
        <v>721</v>
      </c>
      <c r="J37" s="117"/>
    </row>
    <row r="38" spans="1:10">
      <c r="A38" s="32">
        <v>35</v>
      </c>
      <c r="B38" s="32" t="s">
        <v>1095</v>
      </c>
      <c r="C38" s="32" t="s">
        <v>1103</v>
      </c>
      <c r="D38" s="108" t="s">
        <v>1104</v>
      </c>
      <c r="E38" s="32" t="s">
        <v>989</v>
      </c>
      <c r="F38" s="32" t="s">
        <v>1015</v>
      </c>
      <c r="G38" s="32" t="s">
        <v>990</v>
      </c>
      <c r="H38" s="32" t="s">
        <v>1105</v>
      </c>
      <c r="I38" s="116" t="s">
        <v>721</v>
      </c>
      <c r="J38" s="117"/>
    </row>
    <row r="39" spans="1:10">
      <c r="A39" s="32">
        <v>36</v>
      </c>
      <c r="B39" s="32" t="s">
        <v>1106</v>
      </c>
      <c r="C39" s="32" t="s">
        <v>1107</v>
      </c>
      <c r="D39" s="108" t="s">
        <v>1108</v>
      </c>
      <c r="E39" s="32" t="s">
        <v>989</v>
      </c>
      <c r="F39" s="32" t="s">
        <v>1098</v>
      </c>
      <c r="G39" s="32" t="s">
        <v>990</v>
      </c>
      <c r="H39" s="32" t="s">
        <v>1109</v>
      </c>
      <c r="I39" s="116" t="s">
        <v>721</v>
      </c>
      <c r="J39" s="117"/>
    </row>
    <row r="40" spans="1:10">
      <c r="A40" s="32">
        <v>37</v>
      </c>
      <c r="B40" s="32" t="s">
        <v>1106</v>
      </c>
      <c r="C40" s="32" t="s">
        <v>1110</v>
      </c>
      <c r="D40" s="108" t="s">
        <v>1111</v>
      </c>
      <c r="E40" s="32" t="s">
        <v>989</v>
      </c>
      <c r="F40" s="32" t="s">
        <v>983</v>
      </c>
      <c r="G40" s="32" t="s">
        <v>990</v>
      </c>
      <c r="H40" s="32" t="s">
        <v>1112</v>
      </c>
      <c r="I40" s="116" t="s">
        <v>721</v>
      </c>
      <c r="J40" s="117"/>
    </row>
    <row r="41" spans="1:10">
      <c r="A41" s="32">
        <v>38</v>
      </c>
      <c r="B41" s="32" t="s">
        <v>1113</v>
      </c>
      <c r="C41" s="32" t="s">
        <v>1114</v>
      </c>
      <c r="D41" s="108" t="s">
        <v>1115</v>
      </c>
      <c r="E41" s="32" t="s">
        <v>989</v>
      </c>
      <c r="F41" s="32" t="s">
        <v>983</v>
      </c>
      <c r="G41" s="32" t="s">
        <v>990</v>
      </c>
      <c r="H41" s="32" t="s">
        <v>1116</v>
      </c>
      <c r="I41" s="116" t="s">
        <v>721</v>
      </c>
      <c r="J41" s="117"/>
    </row>
    <row r="42" spans="1:10">
      <c r="A42" s="32">
        <v>39</v>
      </c>
      <c r="B42" s="32" t="s">
        <v>1113</v>
      </c>
      <c r="C42" s="32" t="s">
        <v>1117</v>
      </c>
      <c r="D42" s="108" t="s">
        <v>1118</v>
      </c>
      <c r="E42" s="32" t="s">
        <v>989</v>
      </c>
      <c r="F42" s="32" t="s">
        <v>983</v>
      </c>
      <c r="G42" s="32" t="s">
        <v>990</v>
      </c>
      <c r="H42" s="32" t="s">
        <v>1119</v>
      </c>
      <c r="I42" s="116" t="s">
        <v>721</v>
      </c>
      <c r="J42" s="117"/>
    </row>
    <row r="43" spans="1:10">
      <c r="A43" s="32">
        <v>40</v>
      </c>
      <c r="B43" s="32" t="s">
        <v>1113</v>
      </c>
      <c r="C43" s="32" t="s">
        <v>1120</v>
      </c>
      <c r="D43" s="108" t="s">
        <v>1121</v>
      </c>
      <c r="E43" s="32" t="s">
        <v>989</v>
      </c>
      <c r="F43" s="32" t="s">
        <v>1098</v>
      </c>
      <c r="G43" s="32" t="s">
        <v>990</v>
      </c>
      <c r="H43" s="32" t="s">
        <v>1122</v>
      </c>
      <c r="I43" s="116" t="s">
        <v>721</v>
      </c>
      <c r="J43" s="117"/>
    </row>
    <row r="44" spans="1:10">
      <c r="A44" s="32">
        <v>41</v>
      </c>
      <c r="B44" s="32" t="s">
        <v>1113</v>
      </c>
      <c r="C44" s="32" t="s">
        <v>1123</v>
      </c>
      <c r="D44" s="108" t="s">
        <v>1124</v>
      </c>
      <c r="E44" s="32" t="s">
        <v>989</v>
      </c>
      <c r="F44" s="32" t="s">
        <v>1098</v>
      </c>
      <c r="G44" s="32" t="s">
        <v>990</v>
      </c>
      <c r="H44" s="32" t="s">
        <v>1122</v>
      </c>
      <c r="I44" s="116" t="s">
        <v>721</v>
      </c>
      <c r="J44" s="117"/>
    </row>
    <row r="45" spans="1:10">
      <c r="A45" s="32">
        <v>42</v>
      </c>
      <c r="B45" s="32" t="s">
        <v>1113</v>
      </c>
      <c r="C45" s="32" t="s">
        <v>1125</v>
      </c>
      <c r="D45" s="108" t="s">
        <v>1126</v>
      </c>
      <c r="E45" s="32" t="s">
        <v>989</v>
      </c>
      <c r="F45" s="32" t="s">
        <v>1020</v>
      </c>
      <c r="G45" s="32" t="s">
        <v>990</v>
      </c>
      <c r="H45" s="32" t="s">
        <v>1127</v>
      </c>
      <c r="I45" s="116" t="s">
        <v>721</v>
      </c>
      <c r="J45" s="117"/>
    </row>
    <row r="46" spans="1:10" ht="43.35">
      <c r="A46" s="32">
        <v>43</v>
      </c>
      <c r="B46" s="32" t="s">
        <v>1113</v>
      </c>
      <c r="C46" s="32" t="s">
        <v>1128</v>
      </c>
      <c r="D46" s="108" t="s">
        <v>1129</v>
      </c>
      <c r="E46" s="32" t="s">
        <v>989</v>
      </c>
      <c r="F46" s="32" t="s">
        <v>1020</v>
      </c>
      <c r="G46" s="32" t="s">
        <v>990</v>
      </c>
      <c r="H46" s="32" t="s">
        <v>1130</v>
      </c>
      <c r="I46" s="116" t="s">
        <v>721</v>
      </c>
      <c r="J46" s="119" t="s">
        <v>1131</v>
      </c>
    </row>
    <row r="47" spans="1:10">
      <c r="A47" s="32">
        <v>44</v>
      </c>
      <c r="B47" s="32" t="s">
        <v>1132</v>
      </c>
      <c r="C47" s="32" t="s">
        <v>1133</v>
      </c>
      <c r="D47" s="108" t="s">
        <v>1134</v>
      </c>
      <c r="E47" s="32" t="s">
        <v>989</v>
      </c>
      <c r="F47" s="32" t="s">
        <v>983</v>
      </c>
      <c r="G47" s="32" t="s">
        <v>990</v>
      </c>
      <c r="H47" s="32" t="s">
        <v>1135</v>
      </c>
      <c r="I47" s="116" t="s">
        <v>721</v>
      </c>
      <c r="J47" s="117"/>
    </row>
    <row r="48" spans="1:10">
      <c r="A48" s="32">
        <v>45</v>
      </c>
      <c r="B48" s="32" t="s">
        <v>1132</v>
      </c>
      <c r="C48" s="32" t="s">
        <v>1136</v>
      </c>
      <c r="D48" s="108" t="s">
        <v>1137</v>
      </c>
      <c r="E48" s="32" t="s">
        <v>989</v>
      </c>
      <c r="F48" s="32" t="s">
        <v>1020</v>
      </c>
      <c r="G48" s="32" t="s">
        <v>990</v>
      </c>
      <c r="H48" s="32" t="s">
        <v>1138</v>
      </c>
      <c r="I48" s="116" t="s">
        <v>721</v>
      </c>
      <c r="J48" s="117"/>
    </row>
    <row r="49" spans="1:10">
      <c r="A49" s="32">
        <v>46</v>
      </c>
      <c r="B49" s="32" t="s">
        <v>1132</v>
      </c>
      <c r="C49" s="32" t="s">
        <v>1139</v>
      </c>
      <c r="D49" s="108" t="s">
        <v>1140</v>
      </c>
      <c r="E49" s="32" t="s">
        <v>989</v>
      </c>
      <c r="F49" s="32" t="s">
        <v>1066</v>
      </c>
      <c r="G49" s="32" t="s">
        <v>990</v>
      </c>
      <c r="H49" s="32" t="s">
        <v>1141</v>
      </c>
      <c r="I49" s="116" t="s">
        <v>721</v>
      </c>
      <c r="J49" s="117"/>
    </row>
    <row r="50" spans="1:10">
      <c r="A50" s="32">
        <v>47</v>
      </c>
      <c r="B50" s="32" t="s">
        <v>1132</v>
      </c>
      <c r="C50" s="32" t="s">
        <v>1142</v>
      </c>
      <c r="D50" s="108" t="s">
        <v>1143</v>
      </c>
      <c r="E50" s="32" t="s">
        <v>989</v>
      </c>
      <c r="F50" s="32" t="s">
        <v>983</v>
      </c>
      <c r="G50" s="32" t="s">
        <v>990</v>
      </c>
      <c r="H50" s="32" t="s">
        <v>1144</v>
      </c>
      <c r="I50" s="116" t="s">
        <v>721</v>
      </c>
      <c r="J50" s="117"/>
    </row>
    <row r="51" spans="1:10">
      <c r="A51" s="32">
        <v>48</v>
      </c>
      <c r="B51" s="32" t="s">
        <v>1132</v>
      </c>
      <c r="C51" s="32" t="s">
        <v>1145</v>
      </c>
      <c r="D51" s="108" t="s">
        <v>1146</v>
      </c>
      <c r="E51" s="32" t="s">
        <v>989</v>
      </c>
      <c r="F51" s="32" t="s">
        <v>1098</v>
      </c>
      <c r="G51" s="32" t="s">
        <v>990</v>
      </c>
      <c r="H51" s="32" t="s">
        <v>1147</v>
      </c>
      <c r="I51" s="116" t="s">
        <v>721</v>
      </c>
      <c r="J51" s="117"/>
    </row>
    <row r="52" spans="1:10">
      <c r="A52" s="32">
        <v>49</v>
      </c>
      <c r="B52" s="32" t="s">
        <v>1148</v>
      </c>
      <c r="C52" s="32" t="s">
        <v>1149</v>
      </c>
      <c r="D52" s="108" t="s">
        <v>1150</v>
      </c>
      <c r="E52" s="32" t="s">
        <v>989</v>
      </c>
      <c r="F52" s="32" t="s">
        <v>1098</v>
      </c>
      <c r="G52" s="32" t="s">
        <v>990</v>
      </c>
      <c r="H52" s="32" t="s">
        <v>1151</v>
      </c>
      <c r="I52" s="116" t="s">
        <v>721</v>
      </c>
      <c r="J52" s="117"/>
    </row>
    <row r="53" spans="1:10">
      <c r="A53" s="32">
        <v>50</v>
      </c>
      <c r="B53" s="32" t="s">
        <v>1148</v>
      </c>
      <c r="C53" s="32" t="s">
        <v>1152</v>
      </c>
      <c r="D53" s="108" t="s">
        <v>1153</v>
      </c>
      <c r="E53" s="32" t="s">
        <v>989</v>
      </c>
      <c r="F53" s="32" t="s">
        <v>1098</v>
      </c>
      <c r="G53" s="32" t="s">
        <v>990</v>
      </c>
      <c r="H53" s="32" t="s">
        <v>1151</v>
      </c>
      <c r="I53" s="116" t="s">
        <v>721</v>
      </c>
      <c r="J53" s="117"/>
    </row>
    <row r="54" spans="1:10">
      <c r="A54" s="32">
        <v>51</v>
      </c>
      <c r="B54" s="32" t="s">
        <v>1148</v>
      </c>
      <c r="C54" s="32" t="s">
        <v>1154</v>
      </c>
      <c r="D54" s="108" t="s">
        <v>1155</v>
      </c>
      <c r="E54" s="32" t="s">
        <v>989</v>
      </c>
      <c r="F54" s="32" t="s">
        <v>1020</v>
      </c>
      <c r="G54" s="32" t="s">
        <v>990</v>
      </c>
      <c r="H54" s="32" t="s">
        <v>1156</v>
      </c>
      <c r="I54" s="116" t="s">
        <v>721</v>
      </c>
      <c r="J54" s="117"/>
    </row>
    <row r="55" spans="1:10">
      <c r="A55" s="32">
        <v>52</v>
      </c>
      <c r="B55" s="32" t="s">
        <v>1148</v>
      </c>
      <c r="C55" s="32" t="s">
        <v>1157</v>
      </c>
      <c r="D55" s="108" t="s">
        <v>1158</v>
      </c>
      <c r="E55" s="32" t="s">
        <v>989</v>
      </c>
      <c r="F55" s="32" t="s">
        <v>983</v>
      </c>
      <c r="G55" s="32" t="s">
        <v>990</v>
      </c>
      <c r="H55" s="32" t="s">
        <v>1116</v>
      </c>
      <c r="I55" s="116" t="s">
        <v>721</v>
      </c>
      <c r="J55" s="117"/>
    </row>
    <row r="56" spans="1:10">
      <c r="A56" s="32">
        <v>53</v>
      </c>
      <c r="B56" s="32" t="s">
        <v>1148</v>
      </c>
      <c r="C56" s="32" t="s">
        <v>1159</v>
      </c>
      <c r="D56" s="108" t="s">
        <v>1160</v>
      </c>
      <c r="E56" s="32" t="s">
        <v>989</v>
      </c>
      <c r="F56" s="32" t="s">
        <v>1020</v>
      </c>
      <c r="G56" s="32" t="s">
        <v>990</v>
      </c>
      <c r="H56" s="32" t="s">
        <v>1027</v>
      </c>
      <c r="I56" s="116" t="s">
        <v>721</v>
      </c>
      <c r="J56" s="117"/>
    </row>
    <row r="57" spans="1:10">
      <c r="A57" s="32">
        <v>54</v>
      </c>
      <c r="B57" s="32" t="s">
        <v>1161</v>
      </c>
      <c r="C57" s="32" t="s">
        <v>1162</v>
      </c>
      <c r="D57" s="108" t="s">
        <v>1163</v>
      </c>
      <c r="E57" s="32" t="s">
        <v>989</v>
      </c>
      <c r="F57" s="32" t="s">
        <v>1164</v>
      </c>
      <c r="G57" s="32" t="s">
        <v>990</v>
      </c>
      <c r="H57" s="32" t="s">
        <v>1165</v>
      </c>
      <c r="I57" s="116" t="s">
        <v>721</v>
      </c>
      <c r="J57" s="117"/>
    </row>
    <row r="58" spans="1:10">
      <c r="A58" s="32">
        <v>55</v>
      </c>
      <c r="B58" s="32" t="s">
        <v>1161</v>
      </c>
      <c r="C58" s="32" t="s">
        <v>1166</v>
      </c>
      <c r="D58" s="108" t="s">
        <v>1167</v>
      </c>
      <c r="E58" s="32" t="s">
        <v>989</v>
      </c>
      <c r="F58" s="32" t="s">
        <v>1164</v>
      </c>
      <c r="G58" s="32" t="s">
        <v>990</v>
      </c>
      <c r="H58" s="32" t="s">
        <v>1168</v>
      </c>
      <c r="I58" s="116" t="s">
        <v>721</v>
      </c>
      <c r="J58" s="117"/>
    </row>
    <row r="59" spans="1:10">
      <c r="A59" s="32">
        <v>56</v>
      </c>
      <c r="B59" s="32" t="s">
        <v>1161</v>
      </c>
      <c r="C59" s="32" t="s">
        <v>1169</v>
      </c>
      <c r="D59" s="108" t="s">
        <v>1170</v>
      </c>
      <c r="E59" s="32" t="s">
        <v>989</v>
      </c>
      <c r="F59" s="32" t="s">
        <v>1164</v>
      </c>
      <c r="G59" s="32" t="s">
        <v>990</v>
      </c>
      <c r="H59" s="32" t="s">
        <v>1171</v>
      </c>
      <c r="I59" s="116" t="s">
        <v>721</v>
      </c>
      <c r="J59" s="117"/>
    </row>
    <row r="60" spans="1:10">
      <c r="A60" s="32">
        <v>57</v>
      </c>
      <c r="B60" s="32" t="s">
        <v>1161</v>
      </c>
      <c r="C60" s="32" t="s">
        <v>1172</v>
      </c>
      <c r="D60" s="108" t="s">
        <v>1173</v>
      </c>
      <c r="E60" s="32" t="s">
        <v>989</v>
      </c>
      <c r="F60" s="32" t="s">
        <v>1020</v>
      </c>
      <c r="G60" s="32" t="s">
        <v>990</v>
      </c>
      <c r="H60" s="32" t="s">
        <v>1174</v>
      </c>
      <c r="I60" s="116" t="s">
        <v>721</v>
      </c>
      <c r="J60" s="117"/>
    </row>
    <row r="61" spans="1:10">
      <c r="A61" s="32">
        <v>58</v>
      </c>
      <c r="B61" s="32" t="s">
        <v>1161</v>
      </c>
      <c r="C61" s="32" t="s">
        <v>1175</v>
      </c>
      <c r="D61" s="108" t="s">
        <v>1176</v>
      </c>
      <c r="E61" s="32" t="s">
        <v>989</v>
      </c>
      <c r="F61" s="32" t="s">
        <v>1098</v>
      </c>
      <c r="G61" s="32" t="s">
        <v>990</v>
      </c>
      <c r="H61" s="32" t="s">
        <v>1177</v>
      </c>
      <c r="I61" s="116" t="s">
        <v>721</v>
      </c>
      <c r="J61" s="117"/>
    </row>
    <row r="62" spans="1:10">
      <c r="A62" s="32">
        <v>59</v>
      </c>
      <c r="B62" s="32" t="s">
        <v>1161</v>
      </c>
      <c r="C62" s="32" t="s">
        <v>1178</v>
      </c>
      <c r="D62" s="108" t="s">
        <v>1179</v>
      </c>
      <c r="E62" s="32" t="s">
        <v>989</v>
      </c>
      <c r="F62" s="32" t="s">
        <v>1098</v>
      </c>
      <c r="G62" s="32" t="s">
        <v>990</v>
      </c>
      <c r="H62" s="32" t="s">
        <v>1177</v>
      </c>
      <c r="I62" s="116" t="s">
        <v>721</v>
      </c>
      <c r="J62" s="117"/>
    </row>
    <row r="63" spans="1:10">
      <c r="A63" s="32">
        <v>60</v>
      </c>
      <c r="B63" s="32" t="s">
        <v>1180</v>
      </c>
      <c r="C63" s="32" t="s">
        <v>1181</v>
      </c>
      <c r="D63" s="108" t="s">
        <v>1182</v>
      </c>
      <c r="E63" s="32" t="s">
        <v>989</v>
      </c>
      <c r="F63" s="32" t="s">
        <v>1183</v>
      </c>
      <c r="G63" s="32" t="s">
        <v>990</v>
      </c>
      <c r="H63" s="32" t="s">
        <v>1184</v>
      </c>
      <c r="I63" s="116" t="s">
        <v>721</v>
      </c>
      <c r="J63" s="117"/>
    </row>
    <row r="64" spans="1:10" ht="43.35">
      <c r="A64" s="32">
        <v>61</v>
      </c>
      <c r="B64" s="32" t="s">
        <v>1180</v>
      </c>
      <c r="C64" s="32" t="s">
        <v>1185</v>
      </c>
      <c r="D64" s="108" t="s">
        <v>1186</v>
      </c>
      <c r="E64" s="32" t="s">
        <v>989</v>
      </c>
      <c r="F64" s="32" t="s">
        <v>1020</v>
      </c>
      <c r="G64" s="32" t="s">
        <v>990</v>
      </c>
      <c r="H64" s="32" t="s">
        <v>1187</v>
      </c>
      <c r="I64" s="116" t="s">
        <v>721</v>
      </c>
      <c r="J64" s="119" t="s">
        <v>1188</v>
      </c>
    </row>
    <row r="65" spans="1:10">
      <c r="A65" s="32">
        <v>62</v>
      </c>
      <c r="B65" s="32" t="s">
        <v>1180</v>
      </c>
      <c r="C65" s="32" t="s">
        <v>1189</v>
      </c>
      <c r="D65" s="108" t="s">
        <v>1190</v>
      </c>
      <c r="E65" s="32" t="s">
        <v>989</v>
      </c>
      <c r="F65" s="32" t="s">
        <v>1020</v>
      </c>
      <c r="G65" s="32" t="s">
        <v>990</v>
      </c>
      <c r="H65" s="32" t="s">
        <v>1191</v>
      </c>
      <c r="I65" s="116" t="s">
        <v>721</v>
      </c>
      <c r="J65" s="117"/>
    </row>
    <row r="66" spans="1:10" ht="43.35">
      <c r="A66" s="32">
        <v>63</v>
      </c>
      <c r="B66" s="32" t="s">
        <v>1180</v>
      </c>
      <c r="C66" s="32" t="s">
        <v>1192</v>
      </c>
      <c r="D66" s="108" t="s">
        <v>1193</v>
      </c>
      <c r="E66" s="32" t="s">
        <v>989</v>
      </c>
      <c r="F66" s="32" t="s">
        <v>1020</v>
      </c>
      <c r="G66" s="32" t="s">
        <v>990</v>
      </c>
      <c r="H66" s="32" t="s">
        <v>1191</v>
      </c>
      <c r="I66" s="116" t="s">
        <v>721</v>
      </c>
      <c r="J66" s="119" t="s">
        <v>1077</v>
      </c>
    </row>
    <row r="67" spans="1:10">
      <c r="A67" s="32">
        <v>64</v>
      </c>
      <c r="B67" s="32" t="s">
        <v>1194</v>
      </c>
      <c r="C67" s="32" t="s">
        <v>1195</v>
      </c>
      <c r="D67" s="108" t="s">
        <v>1196</v>
      </c>
      <c r="E67" s="32" t="s">
        <v>989</v>
      </c>
      <c r="F67" s="32" t="s">
        <v>1164</v>
      </c>
      <c r="G67" s="32" t="s">
        <v>990</v>
      </c>
      <c r="H67" s="32" t="s">
        <v>1197</v>
      </c>
      <c r="I67" s="116" t="s">
        <v>721</v>
      </c>
      <c r="J67" s="117"/>
    </row>
    <row r="68" spans="1:10">
      <c r="A68" s="32">
        <v>65</v>
      </c>
      <c r="B68" s="32" t="s">
        <v>1194</v>
      </c>
      <c r="C68" s="32" t="s">
        <v>1198</v>
      </c>
      <c r="D68" s="108" t="s">
        <v>1199</v>
      </c>
      <c r="E68" s="32" t="s">
        <v>989</v>
      </c>
      <c r="F68" s="32" t="s">
        <v>983</v>
      </c>
      <c r="G68" s="32" t="s">
        <v>990</v>
      </c>
      <c r="H68" s="32" t="s">
        <v>1135</v>
      </c>
      <c r="I68" s="116" t="s">
        <v>721</v>
      </c>
      <c r="J68" s="117"/>
    </row>
    <row r="69" spans="1:10">
      <c r="A69" s="32">
        <v>66</v>
      </c>
      <c r="B69" s="32" t="s">
        <v>1200</v>
      </c>
      <c r="C69" s="32" t="s">
        <v>1201</v>
      </c>
      <c r="D69" s="108" t="s">
        <v>1202</v>
      </c>
      <c r="E69" s="32" t="s">
        <v>989</v>
      </c>
      <c r="F69" s="32" t="s">
        <v>1015</v>
      </c>
      <c r="G69" s="32" t="s">
        <v>990</v>
      </c>
      <c r="H69" s="32" t="s">
        <v>1203</v>
      </c>
      <c r="I69" s="116" t="s">
        <v>721</v>
      </c>
      <c r="J69" s="117"/>
    </row>
    <row r="70" spans="1:10">
      <c r="A70" s="32">
        <v>67</v>
      </c>
      <c r="B70" s="32" t="s">
        <v>1200</v>
      </c>
      <c r="C70" s="32" t="s">
        <v>1204</v>
      </c>
      <c r="D70" s="108" t="s">
        <v>1205</v>
      </c>
      <c r="E70" s="32" t="s">
        <v>989</v>
      </c>
      <c r="F70" s="32" t="s">
        <v>1164</v>
      </c>
      <c r="G70" s="32" t="s">
        <v>990</v>
      </c>
      <c r="H70" s="32" t="s">
        <v>1206</v>
      </c>
      <c r="I70" s="116" t="s">
        <v>721</v>
      </c>
      <c r="J70" s="117"/>
    </row>
    <row r="71" spans="1:10">
      <c r="A71" s="32">
        <v>68</v>
      </c>
      <c r="B71" s="32" t="s">
        <v>1207</v>
      </c>
      <c r="C71" s="32" t="s">
        <v>1208</v>
      </c>
      <c r="D71" s="108" t="s">
        <v>1209</v>
      </c>
      <c r="E71" s="32" t="s">
        <v>989</v>
      </c>
      <c r="F71" s="32" t="s">
        <v>1164</v>
      </c>
      <c r="G71" s="32" t="s">
        <v>990</v>
      </c>
      <c r="H71" s="32" t="s">
        <v>1210</v>
      </c>
      <c r="I71" s="116" t="s">
        <v>721</v>
      </c>
      <c r="J71" s="117"/>
    </row>
    <row r="72" spans="1:10">
      <c r="A72" s="32">
        <v>69</v>
      </c>
      <c r="B72" s="32" t="s">
        <v>1211</v>
      </c>
      <c r="C72" s="32" t="s">
        <v>1212</v>
      </c>
      <c r="D72" s="108" t="s">
        <v>1213</v>
      </c>
      <c r="E72" s="32" t="s">
        <v>989</v>
      </c>
      <c r="F72" s="32" t="s">
        <v>1164</v>
      </c>
      <c r="G72" s="32" t="s">
        <v>990</v>
      </c>
      <c r="H72" s="32" t="s">
        <v>1214</v>
      </c>
      <c r="I72" s="116" t="s">
        <v>721</v>
      </c>
      <c r="J72" s="117"/>
    </row>
    <row r="73" spans="1:10">
      <c r="A73" s="32">
        <v>70</v>
      </c>
      <c r="B73" s="32" t="s">
        <v>1215</v>
      </c>
      <c r="C73" s="32" t="s">
        <v>1216</v>
      </c>
      <c r="D73" s="108" t="s">
        <v>1217</v>
      </c>
      <c r="E73" s="32" t="s">
        <v>989</v>
      </c>
      <c r="F73" s="32" t="s">
        <v>1164</v>
      </c>
      <c r="G73" s="32" t="s">
        <v>990</v>
      </c>
      <c r="H73" s="32" t="s">
        <v>1218</v>
      </c>
      <c r="I73" s="116" t="s">
        <v>721</v>
      </c>
      <c r="J73" s="117"/>
    </row>
    <row r="74" spans="1:10">
      <c r="A74" s="32">
        <v>71</v>
      </c>
      <c r="B74" s="32" t="s">
        <v>1215</v>
      </c>
      <c r="C74" s="32" t="s">
        <v>1219</v>
      </c>
      <c r="D74" s="108" t="s">
        <v>1220</v>
      </c>
      <c r="E74" s="32" t="s">
        <v>989</v>
      </c>
      <c r="F74" s="32" t="s">
        <v>1098</v>
      </c>
      <c r="G74" s="32" t="s">
        <v>990</v>
      </c>
      <c r="H74" s="32" t="s">
        <v>1221</v>
      </c>
      <c r="I74" s="116" t="s">
        <v>721</v>
      </c>
      <c r="J74" s="117"/>
    </row>
    <row r="75" spans="1:10" ht="43.35">
      <c r="A75" s="32">
        <v>72</v>
      </c>
      <c r="B75" s="32" t="s">
        <v>1222</v>
      </c>
      <c r="C75" s="32" t="s">
        <v>1223</v>
      </c>
      <c r="D75" s="108" t="s">
        <v>1224</v>
      </c>
      <c r="E75" s="32" t="s">
        <v>989</v>
      </c>
      <c r="F75" s="32" t="s">
        <v>1020</v>
      </c>
      <c r="G75" s="32" t="s">
        <v>990</v>
      </c>
      <c r="H75" s="32" t="s">
        <v>1191</v>
      </c>
      <c r="I75" s="116" t="s">
        <v>721</v>
      </c>
      <c r="J75" s="119" t="s">
        <v>1077</v>
      </c>
    </row>
    <row r="76" spans="1:10" ht="43.35">
      <c r="A76" s="32">
        <v>73</v>
      </c>
      <c r="B76" s="32" t="s">
        <v>1222</v>
      </c>
      <c r="C76" s="32" t="s">
        <v>1225</v>
      </c>
      <c r="D76" s="108" t="s">
        <v>1226</v>
      </c>
      <c r="E76" s="32" t="s">
        <v>989</v>
      </c>
      <c r="F76" s="32" t="s">
        <v>1020</v>
      </c>
      <c r="G76" s="32" t="s">
        <v>1227</v>
      </c>
      <c r="H76" s="32" t="s">
        <v>1191</v>
      </c>
      <c r="I76" s="116" t="s">
        <v>721</v>
      </c>
      <c r="J76" s="119" t="s">
        <v>1077</v>
      </c>
    </row>
    <row r="77" spans="1:10">
      <c r="A77" s="32">
        <v>74</v>
      </c>
      <c r="B77" s="32" t="s">
        <v>1228</v>
      </c>
      <c r="C77" s="32" t="s">
        <v>1229</v>
      </c>
      <c r="D77" s="108" t="s">
        <v>1230</v>
      </c>
      <c r="E77" s="32" t="s">
        <v>989</v>
      </c>
      <c r="F77" s="32" t="s">
        <v>1098</v>
      </c>
      <c r="G77" s="32" t="s">
        <v>990</v>
      </c>
      <c r="H77" s="32" t="s">
        <v>1231</v>
      </c>
      <c r="I77" s="116" t="s">
        <v>721</v>
      </c>
      <c r="J77" s="117"/>
    </row>
    <row r="78" spans="1:10" ht="43.35">
      <c r="A78" s="32">
        <v>75</v>
      </c>
      <c r="B78" s="32" t="s">
        <v>1232</v>
      </c>
      <c r="C78" s="32" t="s">
        <v>1233</v>
      </c>
      <c r="D78" s="108" t="s">
        <v>1234</v>
      </c>
      <c r="E78" s="32" t="s">
        <v>989</v>
      </c>
      <c r="F78" s="32" t="s">
        <v>1020</v>
      </c>
      <c r="G78" s="32" t="s">
        <v>990</v>
      </c>
      <c r="H78" s="32" t="s">
        <v>1191</v>
      </c>
      <c r="I78" s="116" t="s">
        <v>721</v>
      </c>
      <c r="J78" s="119" t="s">
        <v>1077</v>
      </c>
    </row>
    <row r="79" spans="1:10" ht="43.35">
      <c r="A79" s="32">
        <v>76</v>
      </c>
      <c r="B79" s="32" t="s">
        <v>1232</v>
      </c>
      <c r="C79" s="32" t="s">
        <v>1235</v>
      </c>
      <c r="D79" s="108" t="s">
        <v>1236</v>
      </c>
      <c r="E79" s="32" t="s">
        <v>989</v>
      </c>
      <c r="F79" s="32" t="s">
        <v>1020</v>
      </c>
      <c r="G79" s="32" t="s">
        <v>990</v>
      </c>
      <c r="H79" s="32" t="s">
        <v>1191</v>
      </c>
      <c r="I79" s="116" t="s">
        <v>721</v>
      </c>
      <c r="J79" s="119" t="s">
        <v>1077</v>
      </c>
    </row>
    <row r="80" spans="1:10">
      <c r="A80" s="32">
        <v>77</v>
      </c>
      <c r="B80" s="32" t="s">
        <v>1232</v>
      </c>
      <c r="C80" s="32" t="s">
        <v>1237</v>
      </c>
      <c r="D80" s="108" t="s">
        <v>1238</v>
      </c>
      <c r="E80" s="32" t="s">
        <v>989</v>
      </c>
      <c r="F80" s="32" t="s">
        <v>1098</v>
      </c>
      <c r="G80" s="32" t="s">
        <v>990</v>
      </c>
      <c r="H80" s="32" t="s">
        <v>1239</v>
      </c>
      <c r="I80" s="116" t="s">
        <v>721</v>
      </c>
      <c r="J80" s="127" t="s">
        <v>1240</v>
      </c>
    </row>
    <row r="81" spans="1:10">
      <c r="A81" s="32">
        <v>78</v>
      </c>
      <c r="B81" s="32" t="s">
        <v>1241</v>
      </c>
      <c r="C81" s="32" t="s">
        <v>1242</v>
      </c>
      <c r="D81" s="108" t="s">
        <v>1243</v>
      </c>
      <c r="E81" s="32" t="s">
        <v>989</v>
      </c>
      <c r="F81" s="32" t="s">
        <v>1098</v>
      </c>
      <c r="G81" s="32" t="s">
        <v>990</v>
      </c>
      <c r="H81" s="32" t="s">
        <v>1239</v>
      </c>
      <c r="I81" s="116" t="s">
        <v>721</v>
      </c>
      <c r="J81" s="127"/>
    </row>
    <row r="82" spans="1:10" ht="43.35">
      <c r="A82" s="32">
        <v>79</v>
      </c>
      <c r="B82" s="32" t="s">
        <v>1232</v>
      </c>
      <c r="C82" s="32" t="s">
        <v>1244</v>
      </c>
      <c r="D82" s="108" t="s">
        <v>1245</v>
      </c>
      <c r="E82" s="32" t="s">
        <v>989</v>
      </c>
      <c r="F82" s="32" t="s">
        <v>1020</v>
      </c>
      <c r="G82" s="32" t="s">
        <v>990</v>
      </c>
      <c r="H82" s="32" t="s">
        <v>1191</v>
      </c>
      <c r="I82" s="116" t="s">
        <v>721</v>
      </c>
      <c r="J82" s="119" t="s">
        <v>1077</v>
      </c>
    </row>
    <row r="83" spans="1:10" ht="43.35">
      <c r="A83" s="32">
        <v>80</v>
      </c>
      <c r="B83" s="32" t="s">
        <v>1232</v>
      </c>
      <c r="C83" s="32" t="s">
        <v>1246</v>
      </c>
      <c r="D83" s="108" t="s">
        <v>1247</v>
      </c>
      <c r="E83" s="32" t="s">
        <v>989</v>
      </c>
      <c r="F83" s="32" t="s">
        <v>1020</v>
      </c>
      <c r="G83" s="32" t="s">
        <v>990</v>
      </c>
      <c r="H83" s="32" t="s">
        <v>1191</v>
      </c>
      <c r="I83" s="116" t="s">
        <v>721</v>
      </c>
      <c r="J83" s="119" t="s">
        <v>1077</v>
      </c>
    </row>
    <row r="84" spans="1:10" ht="43.35">
      <c r="A84" s="32">
        <v>81</v>
      </c>
      <c r="B84" s="32" t="s">
        <v>1232</v>
      </c>
      <c r="C84" s="32" t="s">
        <v>1248</v>
      </c>
      <c r="D84" s="108" t="s">
        <v>1249</v>
      </c>
      <c r="E84" s="32" t="s">
        <v>989</v>
      </c>
      <c r="F84" s="32" t="s">
        <v>1020</v>
      </c>
      <c r="G84" s="32" t="s">
        <v>990</v>
      </c>
      <c r="H84" s="32" t="s">
        <v>1191</v>
      </c>
      <c r="I84" s="116" t="s">
        <v>721</v>
      </c>
      <c r="J84" s="119" t="s">
        <v>1077</v>
      </c>
    </row>
    <row r="85" spans="1:10" ht="43.35">
      <c r="A85" s="32">
        <v>82</v>
      </c>
      <c r="B85" s="32" t="s">
        <v>1241</v>
      </c>
      <c r="C85" s="32" t="s">
        <v>1250</v>
      </c>
      <c r="D85" s="108" t="s">
        <v>1251</v>
      </c>
      <c r="E85" s="32" t="s">
        <v>989</v>
      </c>
      <c r="F85" s="32" t="s">
        <v>1020</v>
      </c>
      <c r="G85" s="32" t="s">
        <v>990</v>
      </c>
      <c r="H85" s="32" t="s">
        <v>1191</v>
      </c>
      <c r="I85" s="116" t="s">
        <v>721</v>
      </c>
      <c r="J85" s="119" t="s">
        <v>1077</v>
      </c>
    </row>
    <row r="86" spans="1:10">
      <c r="A86" s="32">
        <v>83</v>
      </c>
      <c r="B86" s="32" t="s">
        <v>1241</v>
      </c>
      <c r="C86" s="32" t="s">
        <v>1252</v>
      </c>
      <c r="D86" s="108" t="s">
        <v>1253</v>
      </c>
      <c r="E86" s="32" t="s">
        <v>989</v>
      </c>
      <c r="F86" s="32" t="s">
        <v>1066</v>
      </c>
      <c r="G86" s="32" t="s">
        <v>990</v>
      </c>
      <c r="H86" s="32" t="s">
        <v>1254</v>
      </c>
      <c r="I86" s="116" t="s">
        <v>721</v>
      </c>
      <c r="J86" s="117"/>
    </row>
    <row r="87" spans="1:10" ht="43.35">
      <c r="A87" s="32">
        <v>84</v>
      </c>
      <c r="B87" s="32" t="s">
        <v>1241</v>
      </c>
      <c r="C87" s="32" t="s">
        <v>1255</v>
      </c>
      <c r="D87" s="108" t="s">
        <v>1256</v>
      </c>
      <c r="E87" s="32" t="s">
        <v>989</v>
      </c>
      <c r="F87" s="32" t="s">
        <v>1020</v>
      </c>
      <c r="G87" s="32" t="s">
        <v>990</v>
      </c>
      <c r="H87" s="32" t="s">
        <v>1191</v>
      </c>
      <c r="I87" s="116" t="s">
        <v>721</v>
      </c>
      <c r="J87" s="119" t="s">
        <v>1077</v>
      </c>
    </row>
    <row r="88" spans="1:10" ht="43.35">
      <c r="A88" s="32">
        <v>85</v>
      </c>
      <c r="B88" s="32" t="s">
        <v>1241</v>
      </c>
      <c r="C88" s="32" t="s">
        <v>1257</v>
      </c>
      <c r="D88" s="108" t="s">
        <v>1258</v>
      </c>
      <c r="E88" s="32" t="s">
        <v>989</v>
      </c>
      <c r="F88" s="32" t="s">
        <v>1020</v>
      </c>
      <c r="G88" s="32" t="s">
        <v>990</v>
      </c>
      <c r="H88" s="32" t="s">
        <v>1191</v>
      </c>
      <c r="I88" s="116" t="s">
        <v>721</v>
      </c>
      <c r="J88" s="119" t="s">
        <v>1077</v>
      </c>
    </row>
    <row r="89" spans="1:10" ht="43.35">
      <c r="A89" s="32">
        <v>86</v>
      </c>
      <c r="B89" s="32" t="s">
        <v>1241</v>
      </c>
      <c r="C89" s="32" t="s">
        <v>1259</v>
      </c>
      <c r="D89" s="108" t="s">
        <v>1260</v>
      </c>
      <c r="E89" s="32" t="s">
        <v>989</v>
      </c>
      <c r="F89" s="32" t="s">
        <v>1020</v>
      </c>
      <c r="G89" s="32" t="s">
        <v>990</v>
      </c>
      <c r="H89" s="32" t="s">
        <v>1191</v>
      </c>
      <c r="I89" s="116" t="s">
        <v>721</v>
      </c>
      <c r="J89" s="119" t="s">
        <v>1077</v>
      </c>
    </row>
    <row r="90" spans="1:10" ht="43.35">
      <c r="A90" s="32">
        <v>87</v>
      </c>
      <c r="B90" s="32" t="s">
        <v>1241</v>
      </c>
      <c r="C90" s="32" t="s">
        <v>1261</v>
      </c>
      <c r="D90" s="108" t="s">
        <v>1262</v>
      </c>
      <c r="E90" s="32" t="s">
        <v>989</v>
      </c>
      <c r="F90" s="32" t="s">
        <v>1020</v>
      </c>
      <c r="G90" s="32" t="s">
        <v>990</v>
      </c>
      <c r="H90" s="32" t="s">
        <v>1191</v>
      </c>
      <c r="I90" s="116" t="s">
        <v>721</v>
      </c>
      <c r="J90" s="119" t="s">
        <v>1077</v>
      </c>
    </row>
    <row r="91" spans="1:10" ht="43.35">
      <c r="A91" s="32">
        <v>88</v>
      </c>
      <c r="B91" s="32" t="s">
        <v>1241</v>
      </c>
      <c r="C91" s="32" t="s">
        <v>1263</v>
      </c>
      <c r="D91" s="108" t="s">
        <v>1264</v>
      </c>
      <c r="E91" s="32" t="s">
        <v>989</v>
      </c>
      <c r="F91" s="32" t="s">
        <v>1020</v>
      </c>
      <c r="G91" s="32" t="s">
        <v>990</v>
      </c>
      <c r="H91" s="32" t="s">
        <v>1191</v>
      </c>
      <c r="I91" s="116" t="s">
        <v>721</v>
      </c>
      <c r="J91" s="119" t="s">
        <v>1077</v>
      </c>
    </row>
    <row r="92" spans="1:10" ht="43.35">
      <c r="A92" s="32">
        <v>89</v>
      </c>
      <c r="B92" s="32" t="s">
        <v>1241</v>
      </c>
      <c r="C92" s="32" t="s">
        <v>1265</v>
      </c>
      <c r="D92" s="108" t="s">
        <v>1266</v>
      </c>
      <c r="E92" s="32" t="s">
        <v>989</v>
      </c>
      <c r="F92" s="32" t="s">
        <v>1020</v>
      </c>
      <c r="G92" s="32" t="s">
        <v>990</v>
      </c>
      <c r="H92" s="32" t="s">
        <v>1191</v>
      </c>
      <c r="I92" s="116" t="s">
        <v>721</v>
      </c>
      <c r="J92" s="119" t="s">
        <v>1077</v>
      </c>
    </row>
    <row r="93" spans="1:10" ht="43.35">
      <c r="A93" s="32">
        <v>90</v>
      </c>
      <c r="B93" s="32" t="s">
        <v>1241</v>
      </c>
      <c r="C93" s="32" t="s">
        <v>1267</v>
      </c>
      <c r="D93" s="108" t="s">
        <v>1268</v>
      </c>
      <c r="E93" s="32" t="s">
        <v>989</v>
      </c>
      <c r="F93" s="32" t="s">
        <v>1020</v>
      </c>
      <c r="G93" s="32" t="s">
        <v>990</v>
      </c>
      <c r="H93" s="32" t="s">
        <v>1191</v>
      </c>
      <c r="I93" s="116" t="s">
        <v>721</v>
      </c>
      <c r="J93" s="119" t="s">
        <v>1077</v>
      </c>
    </row>
    <row r="94" spans="1:10" ht="43.35">
      <c r="A94" s="32">
        <v>91</v>
      </c>
      <c r="B94" s="32" t="s">
        <v>1241</v>
      </c>
      <c r="C94" s="32" t="s">
        <v>1269</v>
      </c>
      <c r="D94" s="108" t="s">
        <v>1270</v>
      </c>
      <c r="E94" s="32" t="s">
        <v>989</v>
      </c>
      <c r="F94" s="32" t="s">
        <v>1020</v>
      </c>
      <c r="G94" s="32" t="s">
        <v>990</v>
      </c>
      <c r="H94" s="32" t="s">
        <v>1191</v>
      </c>
      <c r="I94" s="116" t="s">
        <v>721</v>
      </c>
      <c r="J94" s="119" t="s">
        <v>1077</v>
      </c>
    </row>
    <row r="95" spans="1:10" ht="43.35">
      <c r="A95" s="32">
        <v>92</v>
      </c>
      <c r="B95" s="32" t="s">
        <v>1241</v>
      </c>
      <c r="C95" s="32" t="s">
        <v>1271</v>
      </c>
      <c r="D95" s="108" t="s">
        <v>1272</v>
      </c>
      <c r="E95" s="32" t="s">
        <v>989</v>
      </c>
      <c r="F95" s="32" t="s">
        <v>1020</v>
      </c>
      <c r="G95" s="32" t="s">
        <v>990</v>
      </c>
      <c r="H95" s="32" t="s">
        <v>1191</v>
      </c>
      <c r="I95" s="116" t="s">
        <v>721</v>
      </c>
      <c r="J95" s="119" t="s">
        <v>1077</v>
      </c>
    </row>
    <row r="96" spans="1:10" ht="43.35">
      <c r="A96" s="32">
        <v>93</v>
      </c>
      <c r="B96" s="32" t="s">
        <v>1241</v>
      </c>
      <c r="C96" s="32" t="s">
        <v>1273</v>
      </c>
      <c r="D96" s="108" t="s">
        <v>1274</v>
      </c>
      <c r="E96" s="32" t="s">
        <v>989</v>
      </c>
      <c r="F96" s="32" t="s">
        <v>1020</v>
      </c>
      <c r="G96" s="32" t="s">
        <v>990</v>
      </c>
      <c r="H96" s="32" t="s">
        <v>1191</v>
      </c>
      <c r="I96" s="116" t="s">
        <v>721</v>
      </c>
      <c r="J96" s="119" t="s">
        <v>1077</v>
      </c>
    </row>
    <row r="97" spans="1:10" ht="43.35">
      <c r="A97" s="32">
        <v>94</v>
      </c>
      <c r="B97" s="32" t="s">
        <v>1241</v>
      </c>
      <c r="C97" s="32" t="s">
        <v>1275</v>
      </c>
      <c r="D97" s="108" t="s">
        <v>1276</v>
      </c>
      <c r="E97" s="32" t="s">
        <v>989</v>
      </c>
      <c r="F97" s="32" t="s">
        <v>1020</v>
      </c>
      <c r="G97" s="32" t="s">
        <v>1020</v>
      </c>
      <c r="H97" s="32" t="s">
        <v>1191</v>
      </c>
      <c r="I97" s="116" t="s">
        <v>721</v>
      </c>
      <c r="J97" s="119" t="s">
        <v>1077</v>
      </c>
    </row>
    <row r="98" spans="1:10" ht="43.35">
      <c r="A98" s="32">
        <v>95</v>
      </c>
      <c r="B98" s="32" t="s">
        <v>1241</v>
      </c>
      <c r="C98" s="32" t="s">
        <v>1277</v>
      </c>
      <c r="D98" s="108" t="s">
        <v>1278</v>
      </c>
      <c r="E98" s="32" t="s">
        <v>989</v>
      </c>
      <c r="F98" s="32" t="s">
        <v>1020</v>
      </c>
      <c r="G98" s="32" t="s">
        <v>1020</v>
      </c>
      <c r="H98" s="32" t="s">
        <v>1191</v>
      </c>
      <c r="I98" s="116" t="s">
        <v>721</v>
      </c>
      <c r="J98" s="119" t="s">
        <v>1077</v>
      </c>
    </row>
    <row r="99" spans="1:10" ht="43.35">
      <c r="A99" s="32">
        <v>96</v>
      </c>
      <c r="B99" s="32" t="s">
        <v>1279</v>
      </c>
      <c r="C99" s="32" t="s">
        <v>1280</v>
      </c>
      <c r="D99" s="108" t="s">
        <v>1281</v>
      </c>
      <c r="E99" s="32" t="s">
        <v>989</v>
      </c>
      <c r="F99" s="32" t="s">
        <v>1020</v>
      </c>
      <c r="G99" s="32" t="s">
        <v>1020</v>
      </c>
      <c r="H99" s="32" t="s">
        <v>1191</v>
      </c>
      <c r="I99" s="116" t="s">
        <v>721</v>
      </c>
      <c r="J99" s="119" t="s">
        <v>1077</v>
      </c>
    </row>
    <row r="100" spans="1:10" ht="43.35">
      <c r="A100" s="32">
        <v>97</v>
      </c>
      <c r="B100" s="32" t="s">
        <v>1282</v>
      </c>
      <c r="C100" s="32" t="s">
        <v>1283</v>
      </c>
      <c r="D100" s="108" t="s">
        <v>1284</v>
      </c>
      <c r="E100" s="32" t="s">
        <v>989</v>
      </c>
      <c r="F100" s="32" t="s">
        <v>1020</v>
      </c>
      <c r="G100" s="32" t="s">
        <v>990</v>
      </c>
      <c r="H100" s="32" t="s">
        <v>1191</v>
      </c>
      <c r="I100" s="116" t="s">
        <v>721</v>
      </c>
      <c r="J100" s="119" t="s">
        <v>1077</v>
      </c>
    </row>
    <row r="101" spans="1:10">
      <c r="A101" s="32">
        <v>98</v>
      </c>
      <c r="B101" s="32" t="s">
        <v>1282</v>
      </c>
      <c r="C101" s="32" t="s">
        <v>1285</v>
      </c>
      <c r="D101" s="120" t="s">
        <v>1286</v>
      </c>
      <c r="E101" s="32" t="s">
        <v>989</v>
      </c>
      <c r="F101" s="50" t="s">
        <v>990</v>
      </c>
      <c r="G101" s="32" t="s">
        <v>990</v>
      </c>
      <c r="H101" s="32" t="s">
        <v>1287</v>
      </c>
      <c r="I101" s="116" t="s">
        <v>721</v>
      </c>
      <c r="J101" s="117" t="s">
        <v>1045</v>
      </c>
    </row>
    <row r="102" spans="1:10">
      <c r="A102" s="32">
        <v>99</v>
      </c>
      <c r="B102" s="32" t="s">
        <v>1288</v>
      </c>
      <c r="C102" s="32" t="s">
        <v>1289</v>
      </c>
      <c r="D102" s="108" t="s">
        <v>1290</v>
      </c>
      <c r="E102" s="32" t="s">
        <v>989</v>
      </c>
      <c r="F102" s="32" t="s">
        <v>1020</v>
      </c>
      <c r="G102" s="32" t="s">
        <v>1020</v>
      </c>
      <c r="H102" s="32" t="s">
        <v>1191</v>
      </c>
      <c r="I102" s="116" t="s">
        <v>721</v>
      </c>
      <c r="J102" s="117"/>
    </row>
    <row r="103" spans="1:10">
      <c r="A103" s="32">
        <v>101</v>
      </c>
      <c r="B103" s="32" t="s">
        <v>1288</v>
      </c>
      <c r="C103" s="32" t="s">
        <v>1291</v>
      </c>
      <c r="D103" s="108" t="s">
        <v>1292</v>
      </c>
      <c r="E103" s="32" t="s">
        <v>989</v>
      </c>
      <c r="F103" s="32" t="s">
        <v>1020</v>
      </c>
      <c r="G103" s="32" t="s">
        <v>1020</v>
      </c>
      <c r="H103" s="32" t="s">
        <v>1191</v>
      </c>
      <c r="I103" s="116" t="s">
        <v>721</v>
      </c>
      <c r="J103" s="117"/>
    </row>
    <row r="104" spans="1:10">
      <c r="A104" s="32">
        <v>107</v>
      </c>
      <c r="B104" s="32" t="s">
        <v>1293</v>
      </c>
      <c r="C104" s="32" t="s">
        <v>1294</v>
      </c>
      <c r="D104" s="108" t="s">
        <v>1295</v>
      </c>
      <c r="E104" s="32" t="s">
        <v>989</v>
      </c>
      <c r="F104" s="32" t="s">
        <v>1164</v>
      </c>
      <c r="G104" s="32" t="s">
        <v>1227</v>
      </c>
      <c r="H104" s="32" t="s">
        <v>1296</v>
      </c>
      <c r="I104" s="116" t="s">
        <v>721</v>
      </c>
      <c r="J104" s="117"/>
    </row>
    <row r="105" spans="1:10">
      <c r="A105" s="32">
        <v>108</v>
      </c>
      <c r="B105" s="32" t="s">
        <v>1297</v>
      </c>
      <c r="C105" s="32" t="s">
        <v>1298</v>
      </c>
      <c r="D105" s="108" t="s">
        <v>1299</v>
      </c>
      <c r="E105" s="32" t="s">
        <v>989</v>
      </c>
      <c r="F105" s="32" t="s">
        <v>1164</v>
      </c>
      <c r="G105" s="32" t="s">
        <v>990</v>
      </c>
      <c r="H105" s="32" t="s">
        <v>1300</v>
      </c>
      <c r="I105" s="116" t="s">
        <v>721</v>
      </c>
      <c r="J105" s="117"/>
    </row>
    <row r="106" spans="1:10">
      <c r="A106" s="32">
        <v>114</v>
      </c>
      <c r="B106" s="32" t="s">
        <v>1301</v>
      </c>
      <c r="C106" s="32" t="s">
        <v>1302</v>
      </c>
      <c r="D106" s="108" t="s">
        <v>1303</v>
      </c>
      <c r="E106" s="32" t="s">
        <v>989</v>
      </c>
      <c r="F106" s="32" t="s">
        <v>1020</v>
      </c>
      <c r="G106" s="32" t="s">
        <v>1020</v>
      </c>
      <c r="H106" s="32" t="s">
        <v>1191</v>
      </c>
      <c r="I106" s="116" t="s">
        <v>721</v>
      </c>
      <c r="J106" s="117"/>
    </row>
    <row r="107" spans="1:10">
      <c r="A107" s="32">
        <v>122</v>
      </c>
      <c r="B107" s="32" t="s">
        <v>986</v>
      </c>
      <c r="C107" s="32" t="s">
        <v>1304</v>
      </c>
      <c r="D107" s="108" t="s">
        <v>1305</v>
      </c>
      <c r="E107" s="32" t="s">
        <v>989</v>
      </c>
      <c r="F107" s="32" t="s">
        <v>1020</v>
      </c>
      <c r="G107" s="32" t="s">
        <v>1020</v>
      </c>
      <c r="H107" s="32" t="s">
        <v>1191</v>
      </c>
      <c r="I107" s="116" t="s">
        <v>721</v>
      </c>
      <c r="J107" s="117"/>
    </row>
    <row r="108" spans="1:10">
      <c r="A108" s="32">
        <v>123</v>
      </c>
      <c r="B108" s="32" t="s">
        <v>986</v>
      </c>
      <c r="C108" s="32" t="s">
        <v>1306</v>
      </c>
      <c r="D108" s="108" t="s">
        <v>1307</v>
      </c>
      <c r="E108" s="32" t="s">
        <v>989</v>
      </c>
      <c r="F108" s="32" t="s">
        <v>1020</v>
      </c>
      <c r="G108" s="32" t="s">
        <v>1020</v>
      </c>
      <c r="H108" s="32" t="s">
        <v>1191</v>
      </c>
      <c r="I108" s="116" t="s">
        <v>721</v>
      </c>
      <c r="J108" s="117"/>
    </row>
    <row r="109" spans="1:10">
      <c r="A109" s="32">
        <v>124</v>
      </c>
      <c r="B109" s="32" t="s">
        <v>986</v>
      </c>
      <c r="C109" s="32" t="s">
        <v>1308</v>
      </c>
      <c r="D109" s="108" t="s">
        <v>1309</v>
      </c>
      <c r="E109" s="32" t="s">
        <v>989</v>
      </c>
      <c r="F109" s="32" t="s">
        <v>1020</v>
      </c>
      <c r="G109" s="32" t="s">
        <v>1020</v>
      </c>
      <c r="H109" s="32" t="s">
        <v>1191</v>
      </c>
      <c r="I109" s="116" t="s">
        <v>721</v>
      </c>
      <c r="J109" s="117"/>
    </row>
    <row r="110" spans="1:10">
      <c r="A110" s="32">
        <v>126</v>
      </c>
      <c r="B110" s="32" t="s">
        <v>1310</v>
      </c>
      <c r="C110" s="32" t="s">
        <v>1311</v>
      </c>
      <c r="D110" s="108" t="s">
        <v>1312</v>
      </c>
      <c r="E110" s="32" t="s">
        <v>989</v>
      </c>
      <c r="F110" s="32" t="s">
        <v>1020</v>
      </c>
      <c r="G110" s="32" t="s">
        <v>1020</v>
      </c>
      <c r="H110" s="32" t="s">
        <v>1313</v>
      </c>
      <c r="I110" s="116" t="s">
        <v>721</v>
      </c>
      <c r="J110" s="117"/>
    </row>
    <row r="111" spans="1:10">
      <c r="A111" s="121">
        <v>127</v>
      </c>
      <c r="B111" s="121" t="s">
        <v>1314</v>
      </c>
      <c r="C111" s="121" t="s">
        <v>1315</v>
      </c>
      <c r="D111" s="122" t="s">
        <v>1316</v>
      </c>
      <c r="E111" s="121" t="s">
        <v>989</v>
      </c>
      <c r="F111" s="121" t="s">
        <v>1020</v>
      </c>
      <c r="G111" s="121" t="s">
        <v>1020</v>
      </c>
      <c r="H111" s="121" t="s">
        <v>1313</v>
      </c>
      <c r="I111" s="123" t="s">
        <v>721</v>
      </c>
      <c r="J111" s="124"/>
    </row>
    <row r="112" spans="1:10">
      <c r="A112" s="86">
        <v>128</v>
      </c>
      <c r="B112" s="86"/>
      <c r="C112" s="86"/>
      <c r="D112" s="87" t="s">
        <v>1317</v>
      </c>
      <c r="E112" s="86">
        <v>100</v>
      </c>
      <c r="F112" s="86" t="s">
        <v>1039</v>
      </c>
      <c r="G112" s="32" t="s">
        <v>990</v>
      </c>
      <c r="H112" s="51" t="s">
        <v>1318</v>
      </c>
      <c r="I112" s="86" t="s">
        <v>721</v>
      </c>
      <c r="J112" s="86"/>
    </row>
    <row r="113" spans="1:12">
      <c r="A113" s="32">
        <v>129</v>
      </c>
      <c r="B113" s="84"/>
      <c r="C113" s="84"/>
      <c r="D113" s="87" t="s">
        <v>1319</v>
      </c>
      <c r="E113" s="86">
        <v>100</v>
      </c>
      <c r="F113" s="86" t="s">
        <v>1098</v>
      </c>
      <c r="G113" s="32" t="s">
        <v>990</v>
      </c>
      <c r="H113" s="51" t="s">
        <v>1320</v>
      </c>
      <c r="I113" s="86" t="s">
        <v>721</v>
      </c>
      <c r="J113" s="85"/>
    </row>
    <row r="114" spans="1:12">
      <c r="A114" s="32">
        <v>130</v>
      </c>
      <c r="B114" s="84"/>
      <c r="C114" s="84"/>
      <c r="D114" s="87" t="s">
        <v>1321</v>
      </c>
      <c r="E114" s="86">
        <v>100</v>
      </c>
      <c r="F114" s="86" t="s">
        <v>1322</v>
      </c>
      <c r="G114" s="32" t="s">
        <v>990</v>
      </c>
      <c r="H114" s="51" t="s">
        <v>1323</v>
      </c>
      <c r="I114" s="86" t="s">
        <v>721</v>
      </c>
      <c r="J114" s="85"/>
    </row>
    <row r="115" spans="1:12" s="91" customFormat="1">
      <c r="A115" s="94">
        <v>131</v>
      </c>
      <c r="B115" s="94"/>
      <c r="C115" s="94"/>
      <c r="D115" s="94" t="s">
        <v>1324</v>
      </c>
      <c r="E115" s="94">
        <v>100</v>
      </c>
      <c r="F115" s="94" t="s">
        <v>1164</v>
      </c>
      <c r="G115" s="94"/>
      <c r="H115" s="94" t="s">
        <v>1325</v>
      </c>
      <c r="I115" s="94" t="s">
        <v>721</v>
      </c>
      <c r="J115" s="96"/>
    </row>
    <row r="116" spans="1:12">
      <c r="A116" s="96">
        <v>132</v>
      </c>
      <c r="D116" s="97" t="s">
        <v>1326</v>
      </c>
      <c r="E116" s="97">
        <v>100</v>
      </c>
      <c r="F116" s="125" t="s">
        <v>1020</v>
      </c>
      <c r="G116" s="125" t="s">
        <v>1020</v>
      </c>
      <c r="H116" s="97" t="s">
        <v>1327</v>
      </c>
      <c r="I116" s="98" t="s">
        <v>721</v>
      </c>
      <c r="J116" s="99"/>
    </row>
    <row r="117" spans="1:12">
      <c r="A117" s="86">
        <v>133</v>
      </c>
      <c r="B117" s="86"/>
      <c r="C117" s="86"/>
      <c r="D117" s="86" t="s">
        <v>1328</v>
      </c>
      <c r="E117" s="86">
        <v>100</v>
      </c>
      <c r="F117" s="32" t="s">
        <v>1098</v>
      </c>
      <c r="G117" s="86"/>
      <c r="H117" s="94" t="s">
        <v>1329</v>
      </c>
      <c r="I117" s="86" t="s">
        <v>721</v>
      </c>
      <c r="J117" s="86"/>
    </row>
    <row r="118" spans="1:12">
      <c r="A118" s="94">
        <v>134</v>
      </c>
      <c r="B118" s="94"/>
      <c r="C118" s="94"/>
      <c r="D118" s="94" t="s">
        <v>1330</v>
      </c>
      <c r="E118" s="94">
        <v>100</v>
      </c>
      <c r="F118" s="126" t="s">
        <v>1020</v>
      </c>
      <c r="G118" s="126" t="s">
        <v>1020</v>
      </c>
      <c r="H118" s="94" t="s">
        <v>1331</v>
      </c>
      <c r="I118" s="94" t="s">
        <v>721</v>
      </c>
      <c r="J118" s="94"/>
    </row>
    <row r="119" spans="1:12" s="90" customFormat="1">
      <c r="A119" s="92">
        <v>135</v>
      </c>
      <c r="B119" s="92"/>
      <c r="C119" s="92"/>
      <c r="D119" s="92" t="s">
        <v>1332</v>
      </c>
      <c r="E119" s="92">
        <v>100</v>
      </c>
      <c r="F119" s="92" t="s">
        <v>1164</v>
      </c>
      <c r="G119" s="92"/>
      <c r="H119" s="93" t="s">
        <v>1333</v>
      </c>
      <c r="I119" s="92" t="s">
        <v>721</v>
      </c>
      <c r="J119" s="92" t="s">
        <v>1334</v>
      </c>
    </row>
    <row r="120" spans="1:12" s="90" customFormat="1">
      <c r="A120" s="95">
        <v>136</v>
      </c>
      <c r="B120" s="95"/>
      <c r="C120" s="95"/>
      <c r="D120" s="95" t="s">
        <v>1335</v>
      </c>
      <c r="E120" s="95">
        <v>100</v>
      </c>
      <c r="F120" s="104" t="s">
        <v>1020</v>
      </c>
      <c r="G120" s="104" t="s">
        <v>1020</v>
      </c>
      <c r="H120" s="100" t="s">
        <v>1336</v>
      </c>
      <c r="I120" s="95" t="s">
        <v>721</v>
      </c>
      <c r="J120" s="100"/>
    </row>
    <row r="121" spans="1:12" s="90" customFormat="1">
      <c r="A121" s="95">
        <v>136</v>
      </c>
      <c r="B121" s="102"/>
      <c r="C121" s="102"/>
      <c r="D121" s="102" t="s">
        <v>1337</v>
      </c>
      <c r="E121" s="95">
        <v>100</v>
      </c>
      <c r="F121" s="104" t="s">
        <v>1039</v>
      </c>
      <c r="G121" s="104" t="s">
        <v>1020</v>
      </c>
      <c r="H121" s="103" t="s">
        <v>1338</v>
      </c>
      <c r="I121" s="95" t="s">
        <v>721</v>
      </c>
      <c r="J121" s="102"/>
      <c r="L121" s="101"/>
    </row>
    <row r="122" spans="1:12" s="90" customFormat="1">
      <c r="A122" s="95">
        <v>136</v>
      </c>
      <c r="B122" s="102"/>
      <c r="C122" s="102"/>
      <c r="D122" s="102" t="s">
        <v>1339</v>
      </c>
      <c r="E122" s="95">
        <v>100</v>
      </c>
      <c r="F122" s="104" t="s">
        <v>1020</v>
      </c>
      <c r="G122" s="104" t="s">
        <v>1020</v>
      </c>
      <c r="H122" s="103" t="s">
        <v>1336</v>
      </c>
      <c r="I122" s="95" t="s">
        <v>721</v>
      </c>
      <c r="J122" s="102"/>
    </row>
    <row r="123" spans="1:12" s="90" customFormat="1">
      <c r="A123" s="95">
        <v>137</v>
      </c>
      <c r="B123" s="102"/>
      <c r="C123" s="102"/>
      <c r="D123" s="102" t="s">
        <v>1340</v>
      </c>
      <c r="E123" s="95">
        <v>100</v>
      </c>
      <c r="F123" s="104" t="s">
        <v>1322</v>
      </c>
      <c r="G123" s="104" t="s">
        <v>990</v>
      </c>
      <c r="H123" s="103" t="s">
        <v>1341</v>
      </c>
      <c r="I123" s="95"/>
      <c r="J123" s="102"/>
    </row>
    <row r="124" spans="1:12" s="90" customFormat="1">
      <c r="A124" s="95">
        <v>138</v>
      </c>
      <c r="B124" s="86"/>
      <c r="C124" s="86"/>
      <c r="D124" s="86" t="s">
        <v>1342</v>
      </c>
      <c r="E124" s="95">
        <v>101</v>
      </c>
      <c r="F124" s="104" t="s">
        <v>1322</v>
      </c>
      <c r="G124" s="104" t="s">
        <v>990</v>
      </c>
      <c r="H124" s="86" t="s">
        <v>1343</v>
      </c>
      <c r="I124" s="86"/>
      <c r="J124" s="86"/>
    </row>
    <row r="125" spans="1:12" s="90" customFormat="1">
      <c r="A125" s="95">
        <v>139</v>
      </c>
      <c r="B125" s="86"/>
      <c r="C125" s="86"/>
      <c r="D125" s="86" t="s">
        <v>1344</v>
      </c>
      <c r="E125" s="95">
        <v>102</v>
      </c>
      <c r="F125" s="104" t="s">
        <v>1322</v>
      </c>
      <c r="G125" s="104" t="s">
        <v>990</v>
      </c>
      <c r="H125" s="86" t="s">
        <v>1343</v>
      </c>
      <c r="I125" s="86"/>
      <c r="J125" s="86"/>
    </row>
    <row r="126" spans="1:12" s="90" customFormat="1">
      <c r="A126" s="95">
        <v>140</v>
      </c>
      <c r="B126" s="86"/>
      <c r="C126" s="86"/>
      <c r="D126" s="86" t="s">
        <v>1345</v>
      </c>
      <c r="E126" s="95">
        <v>100</v>
      </c>
      <c r="F126" s="104" t="s">
        <v>1098</v>
      </c>
      <c r="G126" s="104" t="s">
        <v>990</v>
      </c>
      <c r="H126" s="86" t="s">
        <v>1346</v>
      </c>
      <c r="I126" s="86"/>
      <c r="J126" s="86"/>
    </row>
    <row r="127" spans="1:12" s="90" customFormat="1">
      <c r="A127" s="95">
        <v>141</v>
      </c>
      <c r="B127" s="86"/>
      <c r="C127" s="86"/>
      <c r="D127" s="86" t="s">
        <v>1347</v>
      </c>
      <c r="E127" s="95">
        <v>100</v>
      </c>
      <c r="F127" s="104" t="s">
        <v>1098</v>
      </c>
      <c r="G127" s="104" t="s">
        <v>990</v>
      </c>
      <c r="H127" s="86" t="s">
        <v>1348</v>
      </c>
      <c r="I127" s="86"/>
      <c r="J127" s="86"/>
    </row>
    <row r="128" spans="1:12" s="90" customFormat="1">
      <c r="A128" s="95">
        <v>142</v>
      </c>
      <c r="B128" s="86"/>
      <c r="C128" s="86"/>
      <c r="D128" s="86" t="s">
        <v>1349</v>
      </c>
      <c r="E128" s="95">
        <v>100</v>
      </c>
      <c r="F128" s="104" t="s">
        <v>1020</v>
      </c>
      <c r="G128" s="104" t="s">
        <v>1020</v>
      </c>
      <c r="H128" s="86" t="s">
        <v>1336</v>
      </c>
      <c r="I128" s="86" t="s">
        <v>721</v>
      </c>
      <c r="J128" s="86"/>
    </row>
    <row r="129" spans="1:11" s="90" customFormat="1">
      <c r="A129" s="95">
        <v>143</v>
      </c>
      <c r="B129" s="86"/>
      <c r="C129" s="86"/>
      <c r="D129" s="86" t="s">
        <v>1350</v>
      </c>
      <c r="E129" s="95">
        <v>100</v>
      </c>
      <c r="F129" s="104" t="s">
        <v>1322</v>
      </c>
      <c r="G129" s="104" t="s">
        <v>990</v>
      </c>
      <c r="H129" s="86" t="s">
        <v>1351</v>
      </c>
      <c r="I129" s="86"/>
      <c r="J129" s="86"/>
    </row>
    <row r="130" spans="1:11" s="90" customFormat="1">
      <c r="A130" s="95">
        <v>144</v>
      </c>
      <c r="B130" s="86"/>
      <c r="C130" s="86"/>
      <c r="D130" s="86" t="s">
        <v>1352</v>
      </c>
      <c r="E130" s="95">
        <v>100</v>
      </c>
      <c r="F130" s="104" t="s">
        <v>1098</v>
      </c>
      <c r="G130" s="104" t="s">
        <v>990</v>
      </c>
      <c r="H130" s="86" t="s">
        <v>1353</v>
      </c>
      <c r="I130" s="86"/>
      <c r="J130" s="86"/>
    </row>
    <row r="131" spans="1:11" s="90" customFormat="1">
      <c r="A131" s="95">
        <v>145</v>
      </c>
      <c r="B131" s="86"/>
      <c r="C131" s="86"/>
      <c r="D131" s="106" t="s">
        <v>1354</v>
      </c>
      <c r="E131" s="95">
        <v>100</v>
      </c>
      <c r="F131" s="104" t="s">
        <v>1322</v>
      </c>
      <c r="G131" s="104" t="s">
        <v>990</v>
      </c>
      <c r="H131" s="105" t="s">
        <v>1355</v>
      </c>
      <c r="I131" s="86"/>
      <c r="J131" s="86"/>
    </row>
    <row r="132" spans="1:11" s="90" customFormat="1">
      <c r="A132" s="95">
        <v>146</v>
      </c>
      <c r="B132" s="86"/>
      <c r="C132" s="86"/>
      <c r="D132" s="106" t="s">
        <v>1356</v>
      </c>
      <c r="E132" s="95">
        <v>100</v>
      </c>
      <c r="F132" s="104" t="s">
        <v>1322</v>
      </c>
      <c r="G132" s="104" t="s">
        <v>990</v>
      </c>
      <c r="H132" s="105" t="s">
        <v>1355</v>
      </c>
      <c r="I132" s="86"/>
      <c r="J132" s="86"/>
    </row>
    <row r="133" spans="1:11" s="90" customFormat="1">
      <c r="A133" s="95">
        <v>147</v>
      </c>
      <c r="B133" s="86"/>
      <c r="C133" s="86"/>
      <c r="D133" s="86" t="s">
        <v>1357</v>
      </c>
      <c r="E133" s="95">
        <v>100</v>
      </c>
      <c r="F133" s="104" t="s">
        <v>1098</v>
      </c>
      <c r="G133" s="104" t="s">
        <v>990</v>
      </c>
      <c r="H133" s="86" t="s">
        <v>1358</v>
      </c>
      <c r="I133" s="86"/>
      <c r="J133" s="86"/>
    </row>
    <row r="134" spans="1:11" s="90" customFormat="1">
      <c r="A134" s="95">
        <v>148</v>
      </c>
      <c r="B134" s="86"/>
      <c r="C134" s="86"/>
      <c r="D134" s="94" t="s">
        <v>1359</v>
      </c>
      <c r="E134" s="95">
        <v>100</v>
      </c>
      <c r="F134" s="104" t="s">
        <v>1098</v>
      </c>
      <c r="G134" s="104" t="s">
        <v>990</v>
      </c>
      <c r="H134" s="86" t="s">
        <v>1358</v>
      </c>
      <c r="I134" s="86"/>
      <c r="J134" s="86"/>
    </row>
    <row r="135" spans="1:11" ht="15.95">
      <c r="A135" s="128" t="s">
        <v>1360</v>
      </c>
      <c r="B135" s="128"/>
      <c r="C135" s="128"/>
      <c r="D135" s="128"/>
      <c r="E135" s="128"/>
      <c r="F135" s="128"/>
      <c r="G135" s="128"/>
      <c r="H135" s="128"/>
      <c r="I135" s="128"/>
      <c r="J135" s="128"/>
      <c r="K135" s="107"/>
    </row>
  </sheetData>
  <mergeCells count="2">
    <mergeCell ref="J80:J81"/>
    <mergeCell ref="A135:J135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1A45-24FE-465C-8402-A51C865515EC}">
  <dimension ref="A1:H88"/>
  <sheetViews>
    <sheetView workbookViewId="0">
      <pane ySplit="3" topLeftCell="A21" activePane="bottomLeft" state="frozen"/>
      <selection pane="bottomLeft" activeCell="F20" sqref="F20"/>
    </sheetView>
  </sheetViews>
  <sheetFormatPr defaultRowHeight="14.45"/>
  <cols>
    <col min="2" max="2" width="16.42578125" customWidth="1"/>
    <col min="3" max="3" width="13.42578125" customWidth="1"/>
    <col min="4" max="4" width="21.28515625" customWidth="1"/>
    <col min="5" max="5" width="16.28515625" customWidth="1"/>
    <col min="6" max="6" width="55.42578125" style="63" bestFit="1" customWidth="1"/>
    <col min="7" max="7" width="9" bestFit="1" customWidth="1"/>
    <col min="8" max="8" width="65.42578125" bestFit="1" customWidth="1"/>
  </cols>
  <sheetData>
    <row r="1" spans="1:8">
      <c r="B1" s="129" t="s">
        <v>1361</v>
      </c>
      <c r="C1" s="129"/>
      <c r="D1" s="129"/>
    </row>
    <row r="3" spans="1:8">
      <c r="A3" s="69" t="s">
        <v>972</v>
      </c>
      <c r="B3" s="69" t="s">
        <v>1362</v>
      </c>
      <c r="C3" s="69" t="s">
        <v>1363</v>
      </c>
      <c r="D3" s="68" t="s">
        <v>977</v>
      </c>
      <c r="E3" s="68" t="s">
        <v>1364</v>
      </c>
      <c r="F3" s="70" t="s">
        <v>979</v>
      </c>
      <c r="G3" s="53" t="s">
        <v>1365</v>
      </c>
      <c r="H3" s="68" t="s">
        <v>981</v>
      </c>
    </row>
    <row r="4" spans="1:8" ht="15">
      <c r="A4" s="31">
        <v>1</v>
      </c>
      <c r="B4" s="32" t="s">
        <v>982</v>
      </c>
      <c r="C4" s="32">
        <v>100</v>
      </c>
      <c r="D4" s="32" t="s">
        <v>983</v>
      </c>
      <c r="E4" s="32" t="s">
        <v>990</v>
      </c>
      <c r="F4" s="62" t="s">
        <v>984</v>
      </c>
      <c r="G4" s="32" t="s">
        <v>721</v>
      </c>
      <c r="H4" s="33" t="s">
        <v>1366</v>
      </c>
    </row>
    <row r="5" spans="1:8" ht="15">
      <c r="A5" s="31">
        <v>2</v>
      </c>
      <c r="B5" s="32" t="s">
        <v>988</v>
      </c>
      <c r="C5" s="32">
        <v>100</v>
      </c>
      <c r="D5" s="32" t="s">
        <v>1367</v>
      </c>
      <c r="E5" s="32" t="s">
        <v>990</v>
      </c>
      <c r="F5" s="62" t="s">
        <v>991</v>
      </c>
      <c r="G5" s="32" t="s">
        <v>721</v>
      </c>
      <c r="H5" s="57" t="s">
        <v>992</v>
      </c>
    </row>
    <row r="6" spans="1:8" ht="15">
      <c r="A6" s="31">
        <v>3</v>
      </c>
      <c r="B6" s="32" t="s">
        <v>994</v>
      </c>
      <c r="C6" s="32" t="s">
        <v>989</v>
      </c>
      <c r="D6" s="32" t="s">
        <v>995</v>
      </c>
      <c r="E6" s="32" t="s">
        <v>990</v>
      </c>
      <c r="F6" s="62" t="s">
        <v>1368</v>
      </c>
      <c r="G6" s="32" t="s">
        <v>721</v>
      </c>
      <c r="H6" s="33"/>
    </row>
    <row r="7" spans="1:8" ht="15">
      <c r="A7" s="31">
        <v>4</v>
      </c>
      <c r="B7" s="32" t="s">
        <v>999</v>
      </c>
      <c r="C7" s="32" t="s">
        <v>989</v>
      </c>
      <c r="D7" s="32" t="s">
        <v>1000</v>
      </c>
      <c r="E7" s="32" t="s">
        <v>990</v>
      </c>
      <c r="F7" s="62" t="s">
        <v>1369</v>
      </c>
      <c r="G7" s="32" t="s">
        <v>721</v>
      </c>
      <c r="H7" s="33"/>
    </row>
    <row r="8" spans="1:8" ht="15">
      <c r="A8" s="31">
        <v>5</v>
      </c>
      <c r="B8" s="32" t="s">
        <v>1003</v>
      </c>
      <c r="C8" s="32" t="s">
        <v>989</v>
      </c>
      <c r="D8" s="32" t="s">
        <v>1004</v>
      </c>
      <c r="E8" s="32" t="s">
        <v>990</v>
      </c>
      <c r="F8" s="62" t="s">
        <v>1370</v>
      </c>
      <c r="G8" s="32" t="s">
        <v>721</v>
      </c>
      <c r="H8" s="33"/>
    </row>
    <row r="9" spans="1:8" ht="15">
      <c r="A9" s="31">
        <v>6</v>
      </c>
      <c r="B9" s="32" t="s">
        <v>1007</v>
      </c>
      <c r="C9" s="32" t="s">
        <v>989</v>
      </c>
      <c r="D9" s="32" t="s">
        <v>1004</v>
      </c>
      <c r="E9" s="32" t="s">
        <v>990</v>
      </c>
      <c r="F9" s="62" t="s">
        <v>1371</v>
      </c>
      <c r="G9" s="32" t="s">
        <v>721</v>
      </c>
      <c r="H9" s="33"/>
    </row>
    <row r="10" spans="1:8" ht="15">
      <c r="A10" s="31">
        <v>7</v>
      </c>
      <c r="B10" s="32" t="s">
        <v>1010</v>
      </c>
      <c r="C10" s="32" t="s">
        <v>989</v>
      </c>
      <c r="D10" s="32" t="s">
        <v>1000</v>
      </c>
      <c r="E10" s="32" t="s">
        <v>990</v>
      </c>
      <c r="F10" s="62" t="s">
        <v>1372</v>
      </c>
      <c r="G10" s="32" t="s">
        <v>721</v>
      </c>
      <c r="H10" s="33"/>
    </row>
    <row r="11" spans="1:8" ht="15">
      <c r="A11" s="31">
        <v>8</v>
      </c>
      <c r="B11" s="32" t="s">
        <v>1014</v>
      </c>
      <c r="C11" s="32" t="s">
        <v>989</v>
      </c>
      <c r="D11" s="32" t="s">
        <v>1015</v>
      </c>
      <c r="E11" s="32" t="s">
        <v>990</v>
      </c>
      <c r="F11" s="62" t="s">
        <v>1373</v>
      </c>
      <c r="G11" s="32" t="s">
        <v>721</v>
      </c>
      <c r="H11" s="33"/>
    </row>
    <row r="12" spans="1:8" ht="15">
      <c r="A12" s="31">
        <v>9</v>
      </c>
      <c r="B12" s="32" t="s">
        <v>1019</v>
      </c>
      <c r="C12" s="32" t="s">
        <v>989</v>
      </c>
      <c r="D12" s="32" t="s">
        <v>1020</v>
      </c>
      <c r="E12" s="32" t="s">
        <v>990</v>
      </c>
      <c r="F12" s="62" t="s">
        <v>1374</v>
      </c>
      <c r="G12" s="32" t="s">
        <v>721</v>
      </c>
      <c r="H12" s="33"/>
    </row>
    <row r="13" spans="1:8" ht="15">
      <c r="A13" s="31">
        <v>10</v>
      </c>
      <c r="B13" s="32" t="s">
        <v>1023</v>
      </c>
      <c r="C13" s="32" t="s">
        <v>989</v>
      </c>
      <c r="D13" s="32" t="s">
        <v>1020</v>
      </c>
      <c r="E13" s="32" t="s">
        <v>990</v>
      </c>
      <c r="F13" s="62" t="s">
        <v>1374</v>
      </c>
      <c r="G13" s="32" t="s">
        <v>721</v>
      </c>
      <c r="H13" s="33"/>
    </row>
    <row r="14" spans="1:8" ht="15">
      <c r="A14" s="31">
        <v>11</v>
      </c>
      <c r="B14" s="32" t="s">
        <v>1026</v>
      </c>
      <c r="C14" s="32" t="s">
        <v>989</v>
      </c>
      <c r="D14" s="32" t="s">
        <v>1020</v>
      </c>
      <c r="E14" s="32" t="s">
        <v>990</v>
      </c>
      <c r="F14" s="62" t="s">
        <v>1027</v>
      </c>
      <c r="G14" s="32" t="s">
        <v>721</v>
      </c>
      <c r="H14" s="33"/>
    </row>
    <row r="15" spans="1:8" ht="15">
      <c r="A15" s="31">
        <v>12</v>
      </c>
      <c r="B15" s="32" t="s">
        <v>1030</v>
      </c>
      <c r="C15" s="32" t="s">
        <v>989</v>
      </c>
      <c r="D15" s="32" t="s">
        <v>983</v>
      </c>
      <c r="E15" s="32" t="s">
        <v>990</v>
      </c>
      <c r="F15" s="62" t="s">
        <v>1031</v>
      </c>
      <c r="G15" s="32" t="s">
        <v>721</v>
      </c>
      <c r="H15" s="33"/>
    </row>
    <row r="16" spans="1:8" ht="15">
      <c r="A16" s="31">
        <v>13</v>
      </c>
      <c r="B16" s="32" t="s">
        <v>1033</v>
      </c>
      <c r="C16" s="32" t="s">
        <v>989</v>
      </c>
      <c r="D16" s="32" t="s">
        <v>1020</v>
      </c>
      <c r="E16" s="32" t="s">
        <v>990</v>
      </c>
      <c r="F16" s="62" t="s">
        <v>1375</v>
      </c>
      <c r="G16" s="32" t="s">
        <v>721</v>
      </c>
      <c r="H16" s="33"/>
    </row>
    <row r="17" spans="1:8" ht="15">
      <c r="A17" s="31">
        <v>14</v>
      </c>
      <c r="B17" s="32" t="s">
        <v>1036</v>
      </c>
      <c r="C17" s="32" t="s">
        <v>989</v>
      </c>
      <c r="D17" s="32" t="s">
        <v>1020</v>
      </c>
      <c r="E17" s="32" t="s">
        <v>990</v>
      </c>
      <c r="F17" s="62" t="s">
        <v>1375</v>
      </c>
      <c r="G17" s="32" t="s">
        <v>721</v>
      </c>
      <c r="H17" s="33"/>
    </row>
    <row r="18" spans="1:8" ht="15">
      <c r="A18" s="31">
        <v>15</v>
      </c>
      <c r="B18" s="32" t="s">
        <v>1038</v>
      </c>
      <c r="C18" s="32" t="s">
        <v>989</v>
      </c>
      <c r="D18" s="32" t="s">
        <v>1039</v>
      </c>
      <c r="E18" s="32" t="s">
        <v>990</v>
      </c>
      <c r="F18" s="62" t="s">
        <v>1375</v>
      </c>
      <c r="G18" s="32" t="s">
        <v>721</v>
      </c>
      <c r="H18" s="33"/>
    </row>
    <row r="19" spans="1:8" ht="15">
      <c r="A19" s="31">
        <v>16</v>
      </c>
      <c r="B19" s="32" t="s">
        <v>1042</v>
      </c>
      <c r="C19" s="32" t="s">
        <v>989</v>
      </c>
      <c r="D19" s="32" t="s">
        <v>1020</v>
      </c>
      <c r="E19" s="32" t="s">
        <v>990</v>
      </c>
      <c r="F19" s="62" t="s">
        <v>1375</v>
      </c>
      <c r="G19" s="32" t="s">
        <v>721</v>
      </c>
      <c r="H19" s="33"/>
    </row>
    <row r="20" spans="1:8">
      <c r="A20" s="31">
        <v>17</v>
      </c>
      <c r="B20" s="44" t="s">
        <v>636</v>
      </c>
      <c r="C20" s="44" t="s">
        <v>989</v>
      </c>
      <c r="D20" s="50" t="s">
        <v>990</v>
      </c>
      <c r="E20" s="44" t="s">
        <v>990</v>
      </c>
      <c r="F20" s="71" t="s">
        <v>1376</v>
      </c>
      <c r="G20" s="32" t="s">
        <v>721</v>
      </c>
      <c r="H20" s="74" t="s">
        <v>1045</v>
      </c>
    </row>
    <row r="21" spans="1:8" ht="15">
      <c r="A21" s="31">
        <v>18</v>
      </c>
      <c r="B21" s="32" t="s">
        <v>1047</v>
      </c>
      <c r="C21" s="32" t="s">
        <v>989</v>
      </c>
      <c r="D21" s="32" t="s">
        <v>1020</v>
      </c>
      <c r="E21" s="32" t="s">
        <v>990</v>
      </c>
      <c r="F21" s="62" t="s">
        <v>1375</v>
      </c>
      <c r="G21" s="32" t="s">
        <v>721</v>
      </c>
      <c r="H21" s="33"/>
    </row>
    <row r="22" spans="1:8" ht="15">
      <c r="A22" s="31">
        <v>19</v>
      </c>
      <c r="B22" s="32" t="s">
        <v>1050</v>
      </c>
      <c r="C22" s="32" t="s">
        <v>989</v>
      </c>
      <c r="D22" s="32" t="s">
        <v>1020</v>
      </c>
      <c r="E22" s="32" t="s">
        <v>990</v>
      </c>
      <c r="F22" s="62" t="s">
        <v>1377</v>
      </c>
      <c r="G22" s="32" t="s">
        <v>721</v>
      </c>
      <c r="H22" s="33"/>
    </row>
    <row r="23" spans="1:8" ht="15">
      <c r="A23" s="31">
        <v>20</v>
      </c>
      <c r="B23" s="32" t="s">
        <v>1053</v>
      </c>
      <c r="C23" s="32" t="s">
        <v>989</v>
      </c>
      <c r="D23" s="32" t="s">
        <v>1020</v>
      </c>
      <c r="E23" s="32" t="s">
        <v>990</v>
      </c>
      <c r="F23" s="62" t="s">
        <v>1378</v>
      </c>
      <c r="G23" s="32" t="s">
        <v>721</v>
      </c>
      <c r="H23" s="33"/>
    </row>
    <row r="24" spans="1:8">
      <c r="A24" s="31">
        <v>21</v>
      </c>
      <c r="B24" s="32" t="s">
        <v>1056</v>
      </c>
      <c r="C24" s="32" t="s">
        <v>989</v>
      </c>
      <c r="D24" s="32" t="s">
        <v>1020</v>
      </c>
      <c r="E24" s="32" t="s">
        <v>990</v>
      </c>
      <c r="F24" s="62" t="s">
        <v>1379</v>
      </c>
      <c r="G24" s="32" t="s">
        <v>721</v>
      </c>
      <c r="H24" s="33"/>
    </row>
    <row r="25" spans="1:8" ht="15">
      <c r="A25" s="31">
        <v>22</v>
      </c>
      <c r="B25" s="32" t="s">
        <v>1059</v>
      </c>
      <c r="C25" s="32" t="s">
        <v>989</v>
      </c>
      <c r="D25" s="32" t="s">
        <v>1020</v>
      </c>
      <c r="E25" s="32" t="s">
        <v>990</v>
      </c>
      <c r="F25" s="62" t="s">
        <v>1380</v>
      </c>
      <c r="G25" s="32" t="s">
        <v>721</v>
      </c>
      <c r="H25" s="33"/>
    </row>
    <row r="26" spans="1:8" ht="15">
      <c r="A26" s="31">
        <v>23</v>
      </c>
      <c r="B26" s="32" t="s">
        <v>1062</v>
      </c>
      <c r="C26" s="32" t="s">
        <v>989</v>
      </c>
      <c r="D26" s="32" t="s">
        <v>1020</v>
      </c>
      <c r="E26" s="32" t="s">
        <v>990</v>
      </c>
      <c r="F26" s="62" t="s">
        <v>1380</v>
      </c>
      <c r="G26" s="32" t="s">
        <v>721</v>
      </c>
      <c r="H26" s="33"/>
    </row>
    <row r="27" spans="1:8" ht="15">
      <c r="A27" s="31">
        <v>24</v>
      </c>
      <c r="B27" s="32" t="s">
        <v>1065</v>
      </c>
      <c r="C27" s="32" t="s">
        <v>989</v>
      </c>
      <c r="D27" s="32" t="s">
        <v>1066</v>
      </c>
      <c r="E27" s="32" t="s">
        <v>990</v>
      </c>
      <c r="F27" s="62" t="s">
        <v>1381</v>
      </c>
      <c r="G27" s="32" t="s">
        <v>721</v>
      </c>
      <c r="H27" s="33"/>
    </row>
    <row r="28" spans="1:8" ht="15">
      <c r="A28" s="31">
        <v>25</v>
      </c>
      <c r="B28" s="32" t="s">
        <v>1069</v>
      </c>
      <c r="C28" s="32" t="s">
        <v>989</v>
      </c>
      <c r="D28" s="32" t="s">
        <v>1015</v>
      </c>
      <c r="E28" s="32" t="s">
        <v>990</v>
      </c>
      <c r="F28" s="62" t="s">
        <v>1382</v>
      </c>
      <c r="G28" s="32" t="s">
        <v>721</v>
      </c>
      <c r="H28" s="33"/>
    </row>
    <row r="29" spans="1:8" ht="15">
      <c r="A29" s="31">
        <v>26</v>
      </c>
      <c r="B29" s="32" t="s">
        <v>1072</v>
      </c>
      <c r="C29" s="32" t="s">
        <v>989</v>
      </c>
      <c r="D29" s="32" t="s">
        <v>1015</v>
      </c>
      <c r="E29" s="32" t="s">
        <v>990</v>
      </c>
      <c r="F29" s="62" t="s">
        <v>1383</v>
      </c>
      <c r="G29" s="32" t="s">
        <v>721</v>
      </c>
      <c r="H29" s="33"/>
    </row>
    <row r="30" spans="1:8" ht="30">
      <c r="A30" s="31">
        <v>27</v>
      </c>
      <c r="B30" s="32" t="s">
        <v>1075</v>
      </c>
      <c r="C30" s="32" t="s">
        <v>989</v>
      </c>
      <c r="D30" s="32" t="s">
        <v>1020</v>
      </c>
      <c r="E30" s="32" t="s">
        <v>990</v>
      </c>
      <c r="F30" s="62" t="s">
        <v>1384</v>
      </c>
      <c r="G30" s="32" t="s">
        <v>721</v>
      </c>
      <c r="H30" s="56" t="s">
        <v>1077</v>
      </c>
    </row>
    <row r="31" spans="1:8" ht="30">
      <c r="A31" s="31">
        <v>28</v>
      </c>
      <c r="B31" s="32" t="s">
        <v>1080</v>
      </c>
      <c r="C31" s="32" t="s">
        <v>989</v>
      </c>
      <c r="D31" s="32" t="s">
        <v>1020</v>
      </c>
      <c r="E31" s="32" t="s">
        <v>990</v>
      </c>
      <c r="F31" s="62" t="s">
        <v>1384</v>
      </c>
      <c r="G31" s="32" t="s">
        <v>721</v>
      </c>
      <c r="H31" s="56" t="s">
        <v>1077</v>
      </c>
    </row>
    <row r="32" spans="1:8" ht="15">
      <c r="A32" s="31">
        <v>29</v>
      </c>
      <c r="B32" s="32" t="s">
        <v>1082</v>
      </c>
      <c r="C32" s="32" t="s">
        <v>989</v>
      </c>
      <c r="D32" s="32" t="s">
        <v>1020</v>
      </c>
      <c r="E32" s="32" t="s">
        <v>990</v>
      </c>
      <c r="F32" s="62" t="s">
        <v>1385</v>
      </c>
      <c r="G32" s="32" t="s">
        <v>721</v>
      </c>
      <c r="H32" s="33"/>
    </row>
    <row r="33" spans="1:8" ht="15">
      <c r="A33" s="31">
        <v>30</v>
      </c>
      <c r="B33" s="32" t="s">
        <v>1085</v>
      </c>
      <c r="C33" s="32" t="s">
        <v>989</v>
      </c>
      <c r="D33" s="32" t="s">
        <v>1015</v>
      </c>
      <c r="E33" s="32" t="s">
        <v>990</v>
      </c>
      <c r="F33" s="62" t="s">
        <v>1386</v>
      </c>
      <c r="G33" s="32" t="s">
        <v>721</v>
      </c>
      <c r="H33" s="33"/>
    </row>
    <row r="34" spans="1:8" ht="15">
      <c r="A34" s="31">
        <v>31</v>
      </c>
      <c r="B34" s="32" t="s">
        <v>1088</v>
      </c>
      <c r="C34" s="32" t="s">
        <v>989</v>
      </c>
      <c r="D34" s="32" t="s">
        <v>1089</v>
      </c>
      <c r="E34" s="32" t="s">
        <v>990</v>
      </c>
      <c r="F34" s="62" t="s">
        <v>1387</v>
      </c>
      <c r="G34" s="32" t="s">
        <v>721</v>
      </c>
      <c r="H34" s="33"/>
    </row>
    <row r="35" spans="1:8" ht="15">
      <c r="A35" s="31">
        <v>32</v>
      </c>
      <c r="B35" s="32" t="s">
        <v>1093</v>
      </c>
      <c r="C35" s="32" t="s">
        <v>989</v>
      </c>
      <c r="D35" s="32" t="s">
        <v>1015</v>
      </c>
      <c r="E35" s="32" t="s">
        <v>990</v>
      </c>
      <c r="F35" s="62" t="s">
        <v>1388</v>
      </c>
      <c r="G35" s="32" t="s">
        <v>721</v>
      </c>
      <c r="H35" s="33"/>
    </row>
    <row r="36" spans="1:8">
      <c r="A36" s="31">
        <v>33</v>
      </c>
      <c r="B36" s="32" t="s">
        <v>1097</v>
      </c>
      <c r="C36" s="32" t="s">
        <v>989</v>
      </c>
      <c r="D36" s="32" t="s">
        <v>1098</v>
      </c>
      <c r="E36" s="32" t="s">
        <v>990</v>
      </c>
      <c r="F36" s="62" t="s">
        <v>1099</v>
      </c>
      <c r="G36" s="32" t="s">
        <v>721</v>
      </c>
      <c r="H36" s="33"/>
    </row>
    <row r="37" spans="1:8">
      <c r="A37" s="31">
        <v>34</v>
      </c>
      <c r="B37" s="32" t="s">
        <v>1101</v>
      </c>
      <c r="C37" s="32" t="s">
        <v>989</v>
      </c>
      <c r="D37" s="32" t="s">
        <v>1098</v>
      </c>
      <c r="E37" s="32" t="s">
        <v>990</v>
      </c>
      <c r="F37" s="62" t="s">
        <v>1102</v>
      </c>
      <c r="G37" s="32" t="s">
        <v>721</v>
      </c>
      <c r="H37" s="33"/>
    </row>
    <row r="38" spans="1:8" ht="15">
      <c r="A38" s="31">
        <v>35</v>
      </c>
      <c r="B38" s="32" t="s">
        <v>1104</v>
      </c>
      <c r="C38" s="32" t="s">
        <v>989</v>
      </c>
      <c r="D38" s="32" t="s">
        <v>1015</v>
      </c>
      <c r="E38" s="32" t="s">
        <v>990</v>
      </c>
      <c r="F38" s="62" t="s">
        <v>1389</v>
      </c>
      <c r="G38" s="32" t="s">
        <v>721</v>
      </c>
      <c r="H38" s="33"/>
    </row>
    <row r="39" spans="1:8">
      <c r="A39" s="31">
        <v>36</v>
      </c>
      <c r="B39" s="32" t="s">
        <v>1108</v>
      </c>
      <c r="C39" s="32" t="s">
        <v>989</v>
      </c>
      <c r="D39" s="32" t="s">
        <v>1098</v>
      </c>
      <c r="E39" s="32" t="s">
        <v>990</v>
      </c>
      <c r="F39" s="62" t="s">
        <v>1390</v>
      </c>
      <c r="G39" s="32" t="s">
        <v>721</v>
      </c>
      <c r="H39" s="33"/>
    </row>
    <row r="40" spans="1:8" ht="409.6">
      <c r="A40" s="31">
        <v>37</v>
      </c>
      <c r="B40" s="32" t="s">
        <v>1111</v>
      </c>
      <c r="C40" s="32" t="s">
        <v>989</v>
      </c>
      <c r="D40" s="32" t="s">
        <v>983</v>
      </c>
      <c r="E40" s="32" t="s">
        <v>990</v>
      </c>
      <c r="F40" s="62" t="s">
        <v>1391</v>
      </c>
      <c r="G40" s="32" t="s">
        <v>721</v>
      </c>
      <c r="H40" s="33"/>
    </row>
    <row r="41" spans="1:8" ht="409.6">
      <c r="A41" s="31">
        <v>38</v>
      </c>
      <c r="B41" s="32" t="s">
        <v>1115</v>
      </c>
      <c r="C41" s="32" t="s">
        <v>989</v>
      </c>
      <c r="D41" s="32" t="s">
        <v>983</v>
      </c>
      <c r="E41" s="32" t="s">
        <v>990</v>
      </c>
      <c r="F41" s="62" t="s">
        <v>1392</v>
      </c>
      <c r="G41" s="32" t="s">
        <v>721</v>
      </c>
      <c r="H41" s="33"/>
    </row>
    <row r="42" spans="1:8" ht="409.6">
      <c r="A42" s="31">
        <v>39</v>
      </c>
      <c r="B42" s="32" t="s">
        <v>1118</v>
      </c>
      <c r="C42" s="32" t="s">
        <v>989</v>
      </c>
      <c r="D42" s="32" t="s">
        <v>983</v>
      </c>
      <c r="E42" s="32" t="s">
        <v>990</v>
      </c>
      <c r="F42" s="62" t="s">
        <v>1393</v>
      </c>
      <c r="G42" s="32" t="s">
        <v>721</v>
      </c>
      <c r="H42" s="33"/>
    </row>
    <row r="43" spans="1:8">
      <c r="A43" s="31">
        <v>40</v>
      </c>
      <c r="B43" s="32" t="s">
        <v>1121</v>
      </c>
      <c r="C43" s="32" t="s">
        <v>989</v>
      </c>
      <c r="D43" s="32" t="s">
        <v>1098</v>
      </c>
      <c r="E43" s="32" t="s">
        <v>990</v>
      </c>
      <c r="F43" s="62" t="s">
        <v>1122</v>
      </c>
      <c r="G43" s="32" t="s">
        <v>721</v>
      </c>
      <c r="H43" s="33"/>
    </row>
    <row r="44" spans="1:8">
      <c r="A44" s="31">
        <v>41</v>
      </c>
      <c r="B44" s="32" t="s">
        <v>1124</v>
      </c>
      <c r="C44" s="32" t="s">
        <v>989</v>
      </c>
      <c r="D44" s="32" t="s">
        <v>1098</v>
      </c>
      <c r="E44" s="32" t="s">
        <v>990</v>
      </c>
      <c r="F44" s="62" t="s">
        <v>1122</v>
      </c>
      <c r="G44" s="32" t="s">
        <v>721</v>
      </c>
      <c r="H44" s="33"/>
    </row>
    <row r="45" spans="1:8" ht="409.6">
      <c r="A45" s="31">
        <v>42</v>
      </c>
      <c r="B45" s="32" t="s">
        <v>1126</v>
      </c>
      <c r="C45" s="32" t="s">
        <v>989</v>
      </c>
      <c r="D45" s="32" t="s">
        <v>1020</v>
      </c>
      <c r="E45" s="32" t="s">
        <v>990</v>
      </c>
      <c r="F45" s="62" t="s">
        <v>1394</v>
      </c>
      <c r="G45" s="32" t="s">
        <v>721</v>
      </c>
      <c r="H45" s="33"/>
    </row>
    <row r="46" spans="1:8" ht="29.1">
      <c r="A46" s="31">
        <v>43</v>
      </c>
      <c r="B46" s="32" t="s">
        <v>1129</v>
      </c>
      <c r="C46" s="32" t="s">
        <v>989</v>
      </c>
      <c r="D46" s="32" t="s">
        <v>1020</v>
      </c>
      <c r="E46" s="32" t="s">
        <v>990</v>
      </c>
      <c r="F46" s="62" t="s">
        <v>1395</v>
      </c>
      <c r="G46" s="32" t="s">
        <v>721</v>
      </c>
      <c r="H46" s="56" t="s">
        <v>1131</v>
      </c>
    </row>
    <row r="47" spans="1:8" ht="409.6">
      <c r="A47" s="31">
        <v>44</v>
      </c>
      <c r="B47" s="32" t="s">
        <v>1134</v>
      </c>
      <c r="C47" s="32" t="s">
        <v>989</v>
      </c>
      <c r="D47" s="32" t="s">
        <v>983</v>
      </c>
      <c r="E47" s="32" t="s">
        <v>990</v>
      </c>
      <c r="F47" s="62" t="s">
        <v>1396</v>
      </c>
      <c r="G47" s="32" t="s">
        <v>721</v>
      </c>
      <c r="H47" s="33"/>
    </row>
    <row r="48" spans="1:8" ht="409.6">
      <c r="A48" s="31">
        <v>45</v>
      </c>
      <c r="B48" s="32" t="s">
        <v>1137</v>
      </c>
      <c r="C48" s="32" t="s">
        <v>989</v>
      </c>
      <c r="D48" s="32" t="s">
        <v>1020</v>
      </c>
      <c r="E48" s="32" t="s">
        <v>990</v>
      </c>
      <c r="F48" s="62" t="s">
        <v>1397</v>
      </c>
      <c r="G48" s="32" t="s">
        <v>721</v>
      </c>
      <c r="H48" s="56"/>
    </row>
    <row r="49" spans="1:8" ht="409.6">
      <c r="A49" s="31">
        <v>46</v>
      </c>
      <c r="B49" s="32" t="s">
        <v>1140</v>
      </c>
      <c r="C49" s="32" t="s">
        <v>989</v>
      </c>
      <c r="D49" s="32" t="s">
        <v>1066</v>
      </c>
      <c r="E49" s="32" t="s">
        <v>990</v>
      </c>
      <c r="F49" s="62" t="s">
        <v>1398</v>
      </c>
      <c r="G49" s="32" t="s">
        <v>721</v>
      </c>
      <c r="H49" s="33"/>
    </row>
    <row r="50" spans="1:8" ht="409.6">
      <c r="A50" s="31">
        <v>47</v>
      </c>
      <c r="B50" s="32" t="s">
        <v>1143</v>
      </c>
      <c r="C50" s="32" t="s">
        <v>989</v>
      </c>
      <c r="D50" s="32" t="s">
        <v>983</v>
      </c>
      <c r="E50" s="32" t="s">
        <v>990</v>
      </c>
      <c r="F50" s="62" t="s">
        <v>1399</v>
      </c>
      <c r="G50" s="32" t="s">
        <v>721</v>
      </c>
      <c r="H50" s="33"/>
    </row>
    <row r="51" spans="1:8">
      <c r="A51" s="31">
        <v>48</v>
      </c>
      <c r="B51" s="32" t="s">
        <v>1146</v>
      </c>
      <c r="C51" s="32" t="s">
        <v>989</v>
      </c>
      <c r="D51" s="32" t="s">
        <v>1098</v>
      </c>
      <c r="E51" s="32" t="s">
        <v>990</v>
      </c>
      <c r="F51" s="62" t="s">
        <v>1147</v>
      </c>
      <c r="G51" s="32" t="s">
        <v>721</v>
      </c>
      <c r="H51" s="33"/>
    </row>
    <row r="52" spans="1:8">
      <c r="A52" s="31">
        <v>49</v>
      </c>
      <c r="B52" s="32" t="s">
        <v>1150</v>
      </c>
      <c r="C52" s="32" t="s">
        <v>989</v>
      </c>
      <c r="D52" s="32" t="s">
        <v>1098</v>
      </c>
      <c r="E52" s="32" t="s">
        <v>990</v>
      </c>
      <c r="F52" s="62" t="s">
        <v>1151</v>
      </c>
      <c r="G52" s="32" t="s">
        <v>721</v>
      </c>
      <c r="H52" s="33"/>
    </row>
    <row r="53" spans="1:8">
      <c r="A53" s="31">
        <v>50</v>
      </c>
      <c r="B53" s="32" t="s">
        <v>1153</v>
      </c>
      <c r="C53" s="32" t="s">
        <v>989</v>
      </c>
      <c r="D53" s="32" t="s">
        <v>1098</v>
      </c>
      <c r="E53" s="32" t="s">
        <v>990</v>
      </c>
      <c r="F53" s="62" t="s">
        <v>1151</v>
      </c>
      <c r="G53" s="32" t="s">
        <v>721</v>
      </c>
      <c r="H53" s="33"/>
    </row>
    <row r="54" spans="1:8" ht="409.6">
      <c r="A54" s="31">
        <v>51</v>
      </c>
      <c r="B54" s="32" t="s">
        <v>1155</v>
      </c>
      <c r="C54" s="32" t="s">
        <v>989</v>
      </c>
      <c r="D54" s="32" t="s">
        <v>1020</v>
      </c>
      <c r="E54" s="32" t="s">
        <v>990</v>
      </c>
      <c r="F54" s="62" t="s">
        <v>1400</v>
      </c>
      <c r="G54" s="32" t="s">
        <v>721</v>
      </c>
      <c r="H54" s="33"/>
    </row>
    <row r="55" spans="1:8" ht="409.6">
      <c r="A55" s="31">
        <v>52</v>
      </c>
      <c r="B55" s="32" t="s">
        <v>1158</v>
      </c>
      <c r="C55" s="32" t="s">
        <v>989</v>
      </c>
      <c r="D55" s="32" t="s">
        <v>983</v>
      </c>
      <c r="E55" s="32" t="s">
        <v>990</v>
      </c>
      <c r="F55" s="62" t="s">
        <v>1392</v>
      </c>
      <c r="G55" s="32" t="s">
        <v>721</v>
      </c>
      <c r="H55" s="33"/>
    </row>
    <row r="56" spans="1:8" ht="409.6">
      <c r="A56" s="31">
        <v>53</v>
      </c>
      <c r="B56" s="32" t="s">
        <v>1160</v>
      </c>
      <c r="C56" s="32" t="s">
        <v>989</v>
      </c>
      <c r="D56" s="32" t="s">
        <v>1020</v>
      </c>
      <c r="E56" s="32" t="s">
        <v>990</v>
      </c>
      <c r="F56" s="62" t="s">
        <v>1027</v>
      </c>
      <c r="G56" s="32" t="s">
        <v>721</v>
      </c>
      <c r="H56" s="33"/>
    </row>
    <row r="57" spans="1:8">
      <c r="A57" s="31">
        <v>54</v>
      </c>
      <c r="B57" s="32" t="s">
        <v>1163</v>
      </c>
      <c r="C57" s="32" t="s">
        <v>989</v>
      </c>
      <c r="D57" s="32" t="s">
        <v>1164</v>
      </c>
      <c r="E57" s="32" t="s">
        <v>990</v>
      </c>
      <c r="F57" s="62" t="s">
        <v>1165</v>
      </c>
      <c r="G57" s="32" t="s">
        <v>721</v>
      </c>
      <c r="H57" s="33"/>
    </row>
    <row r="58" spans="1:8">
      <c r="A58" s="31">
        <v>55</v>
      </c>
      <c r="B58" s="32" t="s">
        <v>1167</v>
      </c>
      <c r="C58" s="32" t="s">
        <v>989</v>
      </c>
      <c r="D58" s="32" t="s">
        <v>1164</v>
      </c>
      <c r="E58" s="32" t="s">
        <v>990</v>
      </c>
      <c r="F58" s="62" t="s">
        <v>1401</v>
      </c>
      <c r="G58" s="32" t="s">
        <v>721</v>
      </c>
      <c r="H58" s="33"/>
    </row>
    <row r="59" spans="1:8">
      <c r="A59" s="31">
        <v>56</v>
      </c>
      <c r="B59" s="32" t="s">
        <v>1170</v>
      </c>
      <c r="C59" s="32" t="s">
        <v>989</v>
      </c>
      <c r="D59" s="32" t="s">
        <v>1164</v>
      </c>
      <c r="E59" s="32" t="s">
        <v>990</v>
      </c>
      <c r="F59" s="62" t="s">
        <v>1402</v>
      </c>
      <c r="G59" s="32" t="s">
        <v>721</v>
      </c>
      <c r="H59" s="33"/>
    </row>
    <row r="60" spans="1:8" ht="409.6">
      <c r="A60" s="31">
        <v>57</v>
      </c>
      <c r="B60" s="32" t="s">
        <v>1173</v>
      </c>
      <c r="C60" s="32" t="s">
        <v>989</v>
      </c>
      <c r="D60" s="32" t="s">
        <v>1020</v>
      </c>
      <c r="E60" s="32" t="s">
        <v>990</v>
      </c>
      <c r="F60" s="62" t="s">
        <v>1403</v>
      </c>
      <c r="G60" s="32" t="s">
        <v>721</v>
      </c>
      <c r="H60" s="33"/>
    </row>
    <row r="61" spans="1:8">
      <c r="A61" s="31">
        <v>58</v>
      </c>
      <c r="B61" s="32" t="s">
        <v>1176</v>
      </c>
      <c r="C61" s="32" t="s">
        <v>989</v>
      </c>
      <c r="D61" s="32" t="s">
        <v>1098</v>
      </c>
      <c r="E61" s="32" t="s">
        <v>990</v>
      </c>
      <c r="F61" s="62" t="s">
        <v>1404</v>
      </c>
      <c r="G61" s="32" t="s">
        <v>721</v>
      </c>
      <c r="H61" s="33"/>
    </row>
    <row r="62" spans="1:8">
      <c r="A62" s="31">
        <v>59</v>
      </c>
      <c r="B62" s="32" t="s">
        <v>1179</v>
      </c>
      <c r="C62" s="32" t="s">
        <v>989</v>
      </c>
      <c r="D62" s="32" t="s">
        <v>1098</v>
      </c>
      <c r="E62" s="32" t="s">
        <v>990</v>
      </c>
      <c r="F62" s="62" t="s">
        <v>1404</v>
      </c>
      <c r="G62" s="32" t="s">
        <v>721</v>
      </c>
      <c r="H62" s="33"/>
    </row>
    <row r="63" spans="1:8" ht="409.6">
      <c r="A63" s="31">
        <v>60</v>
      </c>
      <c r="B63" s="32" t="s">
        <v>1182</v>
      </c>
      <c r="C63" s="32" t="s">
        <v>989</v>
      </c>
      <c r="D63" s="32" t="s">
        <v>1183</v>
      </c>
      <c r="E63" s="32" t="s">
        <v>990</v>
      </c>
      <c r="F63" s="62" t="s">
        <v>1405</v>
      </c>
      <c r="G63" s="32" t="s">
        <v>1406</v>
      </c>
      <c r="H63" s="33"/>
    </row>
    <row r="64" spans="1:8" ht="29.1">
      <c r="A64" s="31">
        <v>61</v>
      </c>
      <c r="B64" s="32" t="s">
        <v>1186</v>
      </c>
      <c r="C64" s="32" t="s">
        <v>989</v>
      </c>
      <c r="D64" s="32" t="s">
        <v>1020</v>
      </c>
      <c r="E64" s="32" t="s">
        <v>990</v>
      </c>
      <c r="F64" s="62" t="s">
        <v>1407</v>
      </c>
      <c r="G64" s="32" t="s">
        <v>721</v>
      </c>
      <c r="H64" s="56" t="s">
        <v>1188</v>
      </c>
    </row>
    <row r="65" spans="1:8" ht="29.1">
      <c r="A65" s="31">
        <v>62</v>
      </c>
      <c r="B65" s="32" t="s">
        <v>1190</v>
      </c>
      <c r="C65" s="32" t="s">
        <v>989</v>
      </c>
      <c r="D65" s="32" t="s">
        <v>1020</v>
      </c>
      <c r="E65" s="32" t="s">
        <v>990</v>
      </c>
      <c r="F65" s="62" t="s">
        <v>1408</v>
      </c>
      <c r="G65" s="32" t="s">
        <v>721</v>
      </c>
      <c r="H65" s="56" t="s">
        <v>1077</v>
      </c>
    </row>
    <row r="66" spans="1:8" ht="29.1">
      <c r="A66" s="31">
        <v>63</v>
      </c>
      <c r="B66" s="32" t="s">
        <v>1193</v>
      </c>
      <c r="C66" s="32" t="s">
        <v>989</v>
      </c>
      <c r="D66" s="32" t="s">
        <v>1020</v>
      </c>
      <c r="E66" s="32" t="s">
        <v>990</v>
      </c>
      <c r="F66" s="62" t="s">
        <v>1408</v>
      </c>
      <c r="G66" s="32" t="s">
        <v>721</v>
      </c>
      <c r="H66" s="56" t="s">
        <v>1077</v>
      </c>
    </row>
    <row r="67" spans="1:8">
      <c r="A67" s="31">
        <v>64</v>
      </c>
      <c r="B67" s="32" t="s">
        <v>1196</v>
      </c>
      <c r="C67" s="32" t="s">
        <v>989</v>
      </c>
      <c r="D67" s="32" t="s">
        <v>1164</v>
      </c>
      <c r="E67" s="32" t="s">
        <v>990</v>
      </c>
      <c r="F67" s="62" t="s">
        <v>1409</v>
      </c>
      <c r="G67" s="32" t="s">
        <v>721</v>
      </c>
      <c r="H67" s="33"/>
    </row>
    <row r="68" spans="1:8" ht="409.6">
      <c r="A68" s="31">
        <v>65</v>
      </c>
      <c r="B68" s="32" t="s">
        <v>1199</v>
      </c>
      <c r="C68" s="32" t="s">
        <v>989</v>
      </c>
      <c r="D68" s="32" t="s">
        <v>983</v>
      </c>
      <c r="E68" s="32" t="s">
        <v>990</v>
      </c>
      <c r="F68" s="62" t="s">
        <v>1396</v>
      </c>
      <c r="G68" s="32" t="s">
        <v>721</v>
      </c>
      <c r="H68" s="33"/>
    </row>
    <row r="69" spans="1:8" ht="409.6">
      <c r="A69" s="31">
        <v>66</v>
      </c>
      <c r="B69" s="32" t="s">
        <v>1202</v>
      </c>
      <c r="C69" s="32" t="s">
        <v>989</v>
      </c>
      <c r="D69" s="32" t="s">
        <v>1015</v>
      </c>
      <c r="E69" s="32" t="s">
        <v>990</v>
      </c>
      <c r="F69" s="62" t="s">
        <v>1410</v>
      </c>
      <c r="G69" s="32" t="s">
        <v>721</v>
      </c>
      <c r="H69" s="33"/>
    </row>
    <row r="70" spans="1:8">
      <c r="A70" s="31">
        <v>67</v>
      </c>
      <c r="B70" s="32" t="s">
        <v>1205</v>
      </c>
      <c r="C70" s="32" t="s">
        <v>989</v>
      </c>
      <c r="D70" s="32" t="s">
        <v>1164</v>
      </c>
      <c r="E70" s="32" t="s">
        <v>990</v>
      </c>
      <c r="F70" s="62" t="s">
        <v>1206</v>
      </c>
      <c r="G70" s="32" t="s">
        <v>721</v>
      </c>
      <c r="H70" s="33"/>
    </row>
    <row r="71" spans="1:8">
      <c r="A71" s="31">
        <v>68</v>
      </c>
      <c r="B71" s="32" t="s">
        <v>1209</v>
      </c>
      <c r="C71" s="32" t="s">
        <v>989</v>
      </c>
      <c r="D71" s="32" t="s">
        <v>1164</v>
      </c>
      <c r="E71" s="32" t="s">
        <v>990</v>
      </c>
      <c r="F71" s="62" t="s">
        <v>1210</v>
      </c>
      <c r="G71" s="32" t="s">
        <v>721</v>
      </c>
      <c r="H71" s="33"/>
    </row>
    <row r="72" spans="1:8">
      <c r="A72" s="31">
        <v>69</v>
      </c>
      <c r="B72" s="32" t="s">
        <v>1213</v>
      </c>
      <c r="C72" s="32" t="s">
        <v>989</v>
      </c>
      <c r="D72" s="32" t="s">
        <v>1164</v>
      </c>
      <c r="E72" s="32" t="s">
        <v>990</v>
      </c>
      <c r="F72" s="62" t="s">
        <v>1411</v>
      </c>
      <c r="G72" s="32" t="s">
        <v>721</v>
      </c>
      <c r="H72" s="33"/>
    </row>
    <row r="73" spans="1:8">
      <c r="A73" s="31">
        <v>70</v>
      </c>
      <c r="B73" s="32" t="s">
        <v>1412</v>
      </c>
      <c r="C73" s="32" t="s">
        <v>989</v>
      </c>
      <c r="D73" s="32" t="s">
        <v>1164</v>
      </c>
      <c r="E73" s="32" t="s">
        <v>990</v>
      </c>
      <c r="F73" s="62" t="s">
        <v>1218</v>
      </c>
      <c r="G73" s="32" t="s">
        <v>721</v>
      </c>
      <c r="H73" s="33"/>
    </row>
    <row r="74" spans="1:8">
      <c r="A74" s="31">
        <v>71</v>
      </c>
      <c r="B74" s="32" t="s">
        <v>1413</v>
      </c>
      <c r="C74" s="32" t="s">
        <v>989</v>
      </c>
      <c r="D74" s="32" t="s">
        <v>1098</v>
      </c>
      <c r="E74" s="32" t="s">
        <v>990</v>
      </c>
      <c r="F74" s="62" t="s">
        <v>1414</v>
      </c>
      <c r="G74" s="32" t="s">
        <v>721</v>
      </c>
      <c r="H74" s="33"/>
    </row>
    <row r="75" spans="1:8" ht="29.1">
      <c r="A75" s="31">
        <v>72</v>
      </c>
      <c r="B75" s="32" t="s">
        <v>1224</v>
      </c>
      <c r="C75" s="32">
        <v>100</v>
      </c>
      <c r="D75" s="32" t="s">
        <v>1020</v>
      </c>
      <c r="E75" s="32" t="s">
        <v>990</v>
      </c>
      <c r="F75" s="62" t="s">
        <v>1191</v>
      </c>
      <c r="G75" s="32" t="s">
        <v>721</v>
      </c>
      <c r="H75" s="56" t="s">
        <v>1077</v>
      </c>
    </row>
    <row r="76" spans="1:8" ht="29.1">
      <c r="A76" s="31">
        <v>73</v>
      </c>
      <c r="B76" s="32" t="s">
        <v>1226</v>
      </c>
      <c r="C76" s="32">
        <v>100</v>
      </c>
      <c r="D76" s="32" t="s">
        <v>1020</v>
      </c>
      <c r="E76" s="32" t="s">
        <v>990</v>
      </c>
      <c r="F76" s="62" t="s">
        <v>1415</v>
      </c>
      <c r="G76" s="32" t="s">
        <v>721</v>
      </c>
      <c r="H76" s="56" t="s">
        <v>1077</v>
      </c>
    </row>
    <row r="77" spans="1:8">
      <c r="A77" s="31">
        <v>74</v>
      </c>
      <c r="B77" s="32" t="s">
        <v>1416</v>
      </c>
      <c r="C77" s="32">
        <v>100</v>
      </c>
      <c r="D77" s="32" t="s">
        <v>1098</v>
      </c>
      <c r="E77" s="32" t="s">
        <v>990</v>
      </c>
      <c r="F77" s="62" t="s">
        <v>1417</v>
      </c>
      <c r="G77" s="32" t="s">
        <v>721</v>
      </c>
      <c r="H77" s="33"/>
    </row>
    <row r="78" spans="1:8" ht="29.1">
      <c r="A78" s="31">
        <v>75</v>
      </c>
      <c r="B78" s="32" t="s">
        <v>1234</v>
      </c>
      <c r="C78" s="32">
        <v>100</v>
      </c>
      <c r="D78" s="32" t="s">
        <v>1020</v>
      </c>
      <c r="E78" s="32" t="s">
        <v>990</v>
      </c>
      <c r="F78" s="62" t="s">
        <v>1418</v>
      </c>
      <c r="G78" s="32" t="s">
        <v>721</v>
      </c>
      <c r="H78" s="56" t="s">
        <v>1077</v>
      </c>
    </row>
    <row r="79" spans="1:8" ht="29.1">
      <c r="A79" s="31">
        <v>76</v>
      </c>
      <c r="B79" s="32" t="s">
        <v>1419</v>
      </c>
      <c r="C79" s="32">
        <v>100</v>
      </c>
      <c r="D79" s="32" t="s">
        <v>1020</v>
      </c>
      <c r="E79" s="32" t="s">
        <v>990</v>
      </c>
      <c r="F79" s="62" t="s">
        <v>1418</v>
      </c>
      <c r="G79" s="32" t="s">
        <v>721</v>
      </c>
      <c r="H79" s="56" t="s">
        <v>1077</v>
      </c>
    </row>
    <row r="80" spans="1:8">
      <c r="A80" s="31">
        <v>77</v>
      </c>
      <c r="B80" s="44" t="s">
        <v>1238</v>
      </c>
      <c r="C80" s="44">
        <v>100</v>
      </c>
      <c r="D80" s="44" t="s">
        <v>1098</v>
      </c>
      <c r="E80" s="44" t="s">
        <v>990</v>
      </c>
      <c r="F80" s="71" t="s">
        <v>1420</v>
      </c>
      <c r="G80" s="44" t="s">
        <v>721</v>
      </c>
      <c r="H80" s="130" t="s">
        <v>1240</v>
      </c>
    </row>
    <row r="81" spans="1:8">
      <c r="A81" s="31">
        <v>78</v>
      </c>
      <c r="B81" s="44" t="s">
        <v>1243</v>
      </c>
      <c r="C81" s="44">
        <v>100</v>
      </c>
      <c r="D81" s="44" t="s">
        <v>1098</v>
      </c>
      <c r="E81" s="44" t="s">
        <v>990</v>
      </c>
      <c r="F81" s="71" t="s">
        <v>1421</v>
      </c>
      <c r="G81" s="44" t="s">
        <v>721</v>
      </c>
      <c r="H81" s="130"/>
    </row>
    <row r="82" spans="1:8" ht="409.6">
      <c r="A82" s="31">
        <v>79</v>
      </c>
      <c r="B82" s="32" t="s">
        <v>1253</v>
      </c>
      <c r="C82" s="32">
        <v>100</v>
      </c>
      <c r="D82" s="32" t="s">
        <v>1066</v>
      </c>
      <c r="E82" s="32" t="s">
        <v>990</v>
      </c>
      <c r="F82" s="62" t="s">
        <v>1422</v>
      </c>
      <c r="G82" s="32" t="s">
        <v>721</v>
      </c>
      <c r="H82" s="33"/>
    </row>
    <row r="83" spans="1:8" ht="29.1">
      <c r="A83" s="31">
        <v>80</v>
      </c>
      <c r="B83" s="32" t="s">
        <v>1256</v>
      </c>
      <c r="C83" s="32">
        <v>100</v>
      </c>
      <c r="D83" s="32" t="s">
        <v>1020</v>
      </c>
      <c r="E83" s="32" t="s">
        <v>990</v>
      </c>
      <c r="F83" s="62" t="s">
        <v>1418</v>
      </c>
      <c r="G83" s="32" t="s">
        <v>721</v>
      </c>
      <c r="H83" s="56" t="s">
        <v>1077</v>
      </c>
    </row>
    <row r="84" spans="1:8">
      <c r="A84" s="31">
        <v>81</v>
      </c>
      <c r="B84" s="32" t="s">
        <v>1423</v>
      </c>
      <c r="C84" s="32">
        <v>100</v>
      </c>
      <c r="D84" s="50" t="s">
        <v>1424</v>
      </c>
      <c r="E84" s="32" t="s">
        <v>990</v>
      </c>
      <c r="F84" s="62" t="s">
        <v>1287</v>
      </c>
      <c r="G84" s="51" t="s">
        <v>721</v>
      </c>
      <c r="H84" s="74" t="s">
        <v>1045</v>
      </c>
    </row>
    <row r="85" spans="1:8">
      <c r="A85" s="75">
        <v>82</v>
      </c>
      <c r="B85" s="76" t="s">
        <v>1425</v>
      </c>
      <c r="C85" s="76">
        <v>100</v>
      </c>
      <c r="D85" s="76" t="s">
        <v>1164</v>
      </c>
      <c r="E85" s="76" t="s">
        <v>1227</v>
      </c>
      <c r="F85" s="77" t="s">
        <v>1426</v>
      </c>
      <c r="G85" s="76"/>
      <c r="H85" s="78" t="s">
        <v>1427</v>
      </c>
    </row>
    <row r="86" spans="1:8">
      <c r="A86" s="31">
        <v>83</v>
      </c>
      <c r="B86" s="32" t="s">
        <v>1299</v>
      </c>
      <c r="C86" s="32">
        <v>100</v>
      </c>
      <c r="D86" s="32" t="s">
        <v>1164</v>
      </c>
      <c r="E86" s="32" t="s">
        <v>990</v>
      </c>
      <c r="F86" s="62" t="s">
        <v>1428</v>
      </c>
      <c r="G86" s="32" t="s">
        <v>721</v>
      </c>
      <c r="H86" s="33"/>
    </row>
    <row r="87" spans="1:8">
      <c r="A87" s="31">
        <v>84</v>
      </c>
      <c r="B87" s="32" t="s">
        <v>1295</v>
      </c>
      <c r="C87" s="32">
        <v>100</v>
      </c>
      <c r="D87" s="32" t="s">
        <v>1164</v>
      </c>
      <c r="E87" s="32" t="s">
        <v>1367</v>
      </c>
      <c r="F87" s="62" t="s">
        <v>1296</v>
      </c>
      <c r="G87" s="32" t="s">
        <v>721</v>
      </c>
      <c r="H87" s="33"/>
    </row>
    <row r="88" spans="1:8">
      <c r="B88" s="88" t="s">
        <v>1319</v>
      </c>
      <c r="C88" s="88">
        <v>100</v>
      </c>
      <c r="D88" s="88" t="s">
        <v>1098</v>
      </c>
      <c r="E88" s="88" t="s">
        <v>1098</v>
      </c>
      <c r="F88" s="88" t="s">
        <v>1320</v>
      </c>
      <c r="G88" s="88" t="s">
        <v>721</v>
      </c>
      <c r="H88" s="88" t="s">
        <v>1429</v>
      </c>
    </row>
  </sheetData>
  <autoFilter ref="A3:H87" xr:uid="{5AE11A45-24FE-465C-8402-A51C865515EC}"/>
  <mergeCells count="2">
    <mergeCell ref="B1:D1"/>
    <mergeCell ref="H80:H8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46daed-0a83-4ae1-9b2e-656867f368a7" xsi:nil="true"/>
    <Aanwezig xmlns="ed46daed-0a83-4ae1-9b2e-656867f368a7" xsi:nil="true"/>
    <ApprovedBy xmlns="ed46daed-0a83-4ae1-9b2e-656867f368a7">
      <UserInfo>
        <DisplayName/>
        <AccountId xsi:nil="true"/>
        <AccountType/>
      </UserInfo>
    </ApprovedBy>
    <ApprovedOn xmlns="ed46daed-0a83-4ae1-9b2e-656867f368a7" xsi:nil="true"/>
    <TaxCatchAll xmlns="c08efe9e-12c9-4176-9042-47a564bde395" xsi:nil="true"/>
    <image xmlns="ed46daed-0a83-4ae1-9b2e-656867f368a7" xsi:nil="true"/>
    <lcf76f155ced4ddcb4097134ff3c332f xmlns="ed46daed-0a83-4ae1-9b2e-656867f368a7">
      <Terms xmlns="http://schemas.microsoft.com/office/infopath/2007/PartnerControls"/>
    </lcf76f155ced4ddcb4097134ff3c332f>
    <Greenlightsent xmlns="ed46daed-0a83-4ae1-9b2e-656867f368a7">false</Greenlightsen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0CB31BA00F04D9E9B9698533E0DC3" ma:contentTypeVersion="28" ma:contentTypeDescription="Create a new document." ma:contentTypeScope="" ma:versionID="c7ba110021821c87262ec12f04b010c2">
  <xsd:schema xmlns:xsd="http://www.w3.org/2001/XMLSchema" xmlns:xs="http://www.w3.org/2001/XMLSchema" xmlns:p="http://schemas.microsoft.com/office/2006/metadata/properties" xmlns:ns2="ed46daed-0a83-4ae1-9b2e-656867f368a7" xmlns:ns3="c08efe9e-12c9-4176-9042-47a564bde395" targetNamespace="http://schemas.microsoft.com/office/2006/metadata/properties" ma:root="true" ma:fieldsID="9463abfd817719018c180b3e8740765e" ns2:_="" ns3:_="">
    <xsd:import namespace="ed46daed-0a83-4ae1-9b2e-656867f368a7"/>
    <xsd:import namespace="c08efe9e-12c9-4176-9042-47a564bde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image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Aanwezig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Greenlightsent" minOccurs="0"/>
                <xsd:element ref="ns2:MediaServiceObjectDetectorVersions" minOccurs="0"/>
                <xsd:element ref="ns2:MediaServiceSearchProperties" minOccurs="0"/>
                <xsd:element ref="ns2:ApprovedBy" minOccurs="0"/>
                <xsd:element ref="ns2:Approved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6daed-0a83-4ae1-9b2e-656867f368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" ma:index="14" nillable="true" ma:displayName="image" ma:format="Thumbnail" ma:internalName="imag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Aanwezig" ma:index="22" nillable="true" ma:displayName="Aanwezig" ma:format="Dropdown" ma:internalName="Aanwezig">
      <xsd:simpleType>
        <xsd:restriction base="dms:Note">
          <xsd:maxLength value="255"/>
        </xsd:restriction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ad75ab3-7295-4e7b-b7df-66dc2a277d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reenlightsent" ma:index="27" nillable="true" ma:displayName="Green light sent" ma:default="0" ma:format="Dropdown" ma:internalName="Greenlightsent">
      <xsd:simpleType>
        <xsd:restriction base="dms:Boolea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pprovedBy" ma:index="30" nillable="true" ma:displayName="Approved By" ma:format="Dropdown" ma:list="UserInfo" ma:SharePointGroup="0" ma:internalName="Approv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On" ma:index="31" nillable="true" ma:displayName="Approved On" ma:format="DateOnly" ma:internalName="ApprovedOn">
      <xsd:simpleType>
        <xsd:restriction base="dms:DateTim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efe9e-12c9-4176-9042-47a564bde3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2081670e-e041-4e5a-b82c-497ace5839fc}" ma:internalName="TaxCatchAll" ma:showField="CatchAllData" ma:web="c08efe9e-12c9-4176-9042-47a564bde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67AE95-715C-4547-A62E-7A2048DABB8F}"/>
</file>

<file path=customXml/itemProps2.xml><?xml version="1.0" encoding="utf-8"?>
<ds:datastoreItem xmlns:ds="http://schemas.openxmlformats.org/officeDocument/2006/customXml" ds:itemID="{98EB7418-64A9-4014-945F-77E024AF3652}"/>
</file>

<file path=customXml/itemProps3.xml><?xml version="1.0" encoding="utf-8"?>
<ds:datastoreItem xmlns:ds="http://schemas.openxmlformats.org/officeDocument/2006/customXml" ds:itemID="{DC47776E-930A-45EE-B16C-5C41A671E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Covetrus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Avinjikat</dc:creator>
  <cp:keywords/>
  <dc:description/>
  <cp:lastModifiedBy>Uma Chougule</cp:lastModifiedBy>
  <cp:revision/>
  <dcterms:created xsi:type="dcterms:W3CDTF">2025-09-04T08:19:31Z</dcterms:created>
  <dcterms:modified xsi:type="dcterms:W3CDTF">2026-01-09T09:58:08Z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0x010100C060CB31BA00F04D9E9B9698533E0DC3</vt:lpwstr>
  </property>
  <property fmtid="{D5CDD505-2E9C-101B-9397-08002B2CF9AE}" pid="3" name="MediaServiceImageTags">
    <vt:lpwstr/>
  </property>
</Properties>
</file>